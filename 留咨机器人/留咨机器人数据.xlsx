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uzhaohui/Desktop/职计划/远程实习-萱轩/"/>
    </mc:Choice>
  </mc:AlternateContent>
  <xr:revisionPtr revIDLastSave="0" documentId="8_{B6F1D528-E8FD-1642-956A-F33888693988}" xr6:coauthVersionLast="47" xr6:coauthVersionMax="47" xr10:uidLastSave="{00000000-0000-0000-0000-000000000000}"/>
  <bookViews>
    <workbookView xWindow="1160" yWindow="840" windowWidth="28100" windowHeight="17300" xr2:uid="{E4277FAD-113C-7844-B6F2-AD6586B3E5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B33" i="1"/>
  <c r="B35" i="1" s="1"/>
  <c r="D29" i="1"/>
  <c r="D30" i="1"/>
  <c r="D32" i="1"/>
  <c r="D34" i="1"/>
  <c r="B6" i="1"/>
  <c r="D27" i="1"/>
  <c r="F4" i="1"/>
  <c r="E4" i="1" s="1"/>
  <c r="E79" i="1"/>
  <c r="E78" i="1"/>
  <c r="C73" i="1"/>
  <c r="D59" i="1"/>
  <c r="C61" i="1" s="1"/>
  <c r="C64" i="1" s="1"/>
  <c r="D64" i="1" s="1"/>
  <c r="A64" i="1"/>
  <c r="E6" i="1"/>
  <c r="N16" i="1"/>
  <c r="D7" i="1"/>
  <c r="E7" i="1" s="1"/>
  <c r="E11" i="1"/>
  <c r="B11" i="1"/>
  <c r="H10" i="1"/>
  <c r="C10" i="1"/>
  <c r="M6" i="1"/>
  <c r="B9" i="1"/>
  <c r="C3" i="1"/>
  <c r="C8" i="1" s="1"/>
  <c r="E9" i="1"/>
  <c r="C14" i="1"/>
  <c r="D14" i="1" s="1"/>
  <c r="E14" i="1" s="1"/>
  <c r="D3" i="1"/>
  <c r="E3" i="1" s="1"/>
  <c r="C26" i="1" s="1"/>
  <c r="C35" i="1" l="1"/>
  <c r="C28" i="1"/>
  <c r="C41" i="1" s="1"/>
  <c r="D35" i="1"/>
  <c r="C36" i="1"/>
  <c r="B26" i="1"/>
  <c r="B28" i="1" s="1"/>
  <c r="D33" i="1"/>
  <c r="C12" i="1"/>
  <c r="E5" i="1"/>
  <c r="E10" i="1"/>
  <c r="E12" i="1" s="1"/>
  <c r="D10" i="1"/>
  <c r="D12" i="1" s="1"/>
  <c r="C5" i="1"/>
  <c r="D5" i="1"/>
  <c r="B7" i="1"/>
  <c r="B10" i="1" s="1"/>
  <c r="E8" i="1"/>
  <c r="B3" i="1"/>
  <c r="B14" i="1"/>
  <c r="D8" i="1"/>
  <c r="B8" i="1" s="1"/>
  <c r="M8" i="1"/>
  <c r="B31" i="1" l="1"/>
  <c r="B41" i="1"/>
  <c r="B40" i="1" s="1"/>
  <c r="D41" i="1"/>
  <c r="C38" i="1"/>
  <c r="C31" i="1"/>
  <c r="D28" i="1"/>
  <c r="D26" i="1"/>
  <c r="B12" i="1"/>
  <c r="B36" i="1"/>
  <c r="B38" i="1" s="1"/>
  <c r="B43" i="1" s="1"/>
  <c r="F8" i="1"/>
  <c r="C17" i="1"/>
  <c r="B5" i="1"/>
  <c r="B4" i="1" s="1"/>
  <c r="E13" i="1"/>
  <c r="E15" i="1" s="1"/>
  <c r="D17" i="1"/>
  <c r="D13" i="1"/>
  <c r="H8" i="1"/>
  <c r="C13" i="1"/>
  <c r="C15" i="1" s="1"/>
  <c r="C18" i="1" l="1"/>
  <c r="D38" i="1"/>
  <c r="D36" i="1"/>
  <c r="D15" i="1"/>
  <c r="F15" i="1" s="1"/>
  <c r="B13" i="1"/>
  <c r="H17" i="1"/>
  <c r="B17" i="1"/>
  <c r="B15" i="1"/>
  <c r="D18" i="1" l="1"/>
  <c r="H15" i="1"/>
  <c r="B18" i="1"/>
  <c r="B16" i="1"/>
  <c r="E18" i="1" l="1"/>
  <c r="H18" i="1" l="1"/>
  <c r="E17" i="1"/>
  <c r="D31" i="1"/>
  <c r="E16" i="1" l="1"/>
  <c r="J16" i="1" s="1"/>
  <c r="F17" i="1"/>
  <c r="O16" i="1" l="1"/>
  <c r="L16" i="1" s="1"/>
  <c r="C42" i="1"/>
  <c r="C40" i="1" s="1"/>
  <c r="C43" i="1" l="1"/>
  <c r="D43" i="1" s="1"/>
  <c r="D40" i="1"/>
</calcChain>
</file>

<file path=xl/sharedStrings.xml><?xml version="1.0" encoding="utf-8"?>
<sst xmlns="http://schemas.openxmlformats.org/spreadsheetml/2006/main" count="55" uniqueCount="38">
  <si>
    <t>历史数据</t>
    <phoneticPr fontId="2" type="noConversion"/>
  </si>
  <si>
    <t>模拟数据</t>
    <phoneticPr fontId="2" type="noConversion"/>
  </si>
  <si>
    <t>夜间流失计算</t>
    <phoneticPr fontId="2" type="noConversion"/>
  </si>
  <si>
    <t>曝光uv</t>
    <phoneticPr fontId="2" type="noConversion"/>
  </si>
  <si>
    <t>ctr</t>
    <phoneticPr fontId="2" type="noConversion"/>
  </si>
  <si>
    <t>留咨ctr</t>
    <phoneticPr fontId="2" type="noConversion"/>
  </si>
  <si>
    <t>留咨cvr</t>
    <phoneticPr fontId="2" type="noConversion"/>
  </si>
  <si>
    <t>客单价</t>
    <phoneticPr fontId="2" type="noConversion"/>
  </si>
  <si>
    <t>GMV</t>
    <phoneticPr fontId="2" type="noConversion"/>
  </si>
  <si>
    <t>白天数据</t>
    <phoneticPr fontId="2" type="noConversion"/>
  </si>
  <si>
    <t>夜间数据</t>
    <phoneticPr fontId="2" type="noConversion"/>
  </si>
  <si>
    <t>订单cvr</t>
    <phoneticPr fontId="2" type="noConversion"/>
  </si>
  <si>
    <t>cvr</t>
    <phoneticPr fontId="2" type="noConversion"/>
  </si>
  <si>
    <t>留咨量</t>
    <phoneticPr fontId="2" type="noConversion"/>
  </si>
  <si>
    <t>ROI</t>
    <phoneticPr fontId="2" type="noConversion"/>
  </si>
  <si>
    <t>点击uv</t>
    <phoneticPr fontId="2" type="noConversion"/>
  </si>
  <si>
    <t>ACP</t>
    <phoneticPr fontId="2" type="noConversion"/>
  </si>
  <si>
    <t>广告消耗</t>
    <phoneticPr fontId="2" type="noConversion"/>
  </si>
  <si>
    <t>预计提升</t>
    <phoneticPr fontId="2" type="noConversion"/>
  </si>
  <si>
    <t>广告费</t>
    <phoneticPr fontId="2" type="noConversion"/>
  </si>
  <si>
    <t>预估ROI</t>
    <phoneticPr fontId="2" type="noConversion"/>
  </si>
  <si>
    <t>直接下单cvr</t>
    <phoneticPr fontId="2" type="noConversion"/>
  </si>
  <si>
    <t>留咨下单cvr</t>
    <phoneticPr fontId="2" type="noConversion"/>
  </si>
  <si>
    <t>夜间本身就高</t>
    <phoneticPr fontId="2" type="noConversion"/>
  </si>
  <si>
    <t>由于没有客服所以低</t>
    <phoneticPr fontId="2" type="noConversion"/>
  </si>
  <si>
    <t>订单量</t>
    <phoneticPr fontId="2" type="noConversion"/>
  </si>
  <si>
    <t>留咨价格</t>
    <phoneticPr fontId="2" type="noConversion"/>
  </si>
  <si>
    <t>流量提升</t>
    <phoneticPr fontId="2" type="noConversion"/>
  </si>
  <si>
    <t>ecom1</t>
    <phoneticPr fontId="2" type="noConversion"/>
  </si>
  <si>
    <t>ecpm2</t>
    <phoneticPr fontId="2" type="noConversion"/>
  </si>
  <si>
    <t>A组</t>
    <phoneticPr fontId="2" type="noConversion"/>
  </si>
  <si>
    <t>B组</t>
    <phoneticPr fontId="2" type="noConversion"/>
  </si>
  <si>
    <t>增长效果</t>
    <phoneticPr fontId="2" type="noConversion"/>
  </si>
  <si>
    <t>夜间广告结果数据</t>
    <phoneticPr fontId="2" type="noConversion"/>
  </si>
  <si>
    <t>广告总消耗</t>
    <phoneticPr fontId="2" type="noConversion"/>
  </si>
  <si>
    <t>点击消耗</t>
    <phoneticPr fontId="2" type="noConversion"/>
  </si>
  <si>
    <t>留咨消耗</t>
    <phoneticPr fontId="2" type="noConversion"/>
  </si>
  <si>
    <t>夜间自然流量数据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</si>
</sst>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84" formatCode="0.0000000000000000%"/>
    <numFmt numFmtId="200" formatCode="0.00_ "/>
  </numFmts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1" xfId="0" applyBorder="1">
      <alignment vertical="center"/>
    </xf>
    <xf numFmtId="1" fontId="0" fillId="0" borderId="1" xfId="0" applyNumberFormat="1" applyBorder="1">
      <alignment vertical="center"/>
    </xf>
    <xf numFmtId="10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0" fontId="0" fillId="0" borderId="0" xfId="0" applyFill="1" applyBorder="1">
      <alignment vertical="center"/>
    </xf>
    <xf numFmtId="2" fontId="0" fillId="0" borderId="0" xfId="0" applyNumberFormat="1">
      <alignment vertical="center"/>
    </xf>
    <xf numFmtId="184" fontId="0" fillId="0" borderId="0" xfId="0" applyNumberFormat="1">
      <alignment vertical="center"/>
    </xf>
    <xf numFmtId="9" fontId="0" fillId="0" borderId="0" xfId="0" applyNumberFormat="1">
      <alignment vertical="center"/>
    </xf>
    <xf numFmtId="200" fontId="0" fillId="0" borderId="0" xfId="0" applyNumberFormat="1">
      <alignment vertical="center"/>
    </xf>
    <xf numFmtId="0" fontId="0" fillId="0" borderId="1" xfId="0" applyFill="1" applyBorder="1">
      <alignment vertical="center"/>
    </xf>
    <xf numFmtId="9" fontId="0" fillId="0" borderId="1" xfId="0" applyNumberFormat="1" applyBorder="1">
      <alignment vertical="center"/>
    </xf>
    <xf numFmtId="9" fontId="0" fillId="0" borderId="1" xfId="1" applyFont="1" applyBorder="1">
      <alignment vertical="center"/>
    </xf>
    <xf numFmtId="0" fontId="3" fillId="0" borderId="2" xfId="0" applyFont="1" applyBorder="1" applyAlignment="1">
      <alignment horizontal="right" vertical="center"/>
    </xf>
    <xf numFmtId="10" fontId="3" fillId="0" borderId="2" xfId="0" applyNumberFormat="1" applyFont="1" applyBorder="1" applyAlignment="1">
      <alignment horizontal="right" vertical="center"/>
    </xf>
    <xf numFmtId="10" fontId="0" fillId="0" borderId="1" xfId="1" applyNumberFormat="1" applyFont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FED1D-F63A-C440-8A4E-702A3C2494DA}">
  <dimension ref="A1:O79"/>
  <sheetViews>
    <sheetView tabSelected="1" topLeftCell="A8" workbookViewId="0">
      <selection activeCell="A25" sqref="A25:D43"/>
    </sheetView>
  </sheetViews>
  <sheetFormatPr baseColWidth="10" defaultRowHeight="16"/>
  <cols>
    <col min="1" max="1" width="14.1640625" bestFit="1" customWidth="1"/>
    <col min="2" max="2" width="14.33203125" customWidth="1"/>
    <col min="3" max="3" width="14" customWidth="1"/>
    <col min="4" max="4" width="13.33203125" customWidth="1"/>
    <col min="5" max="5" width="14.5" customWidth="1"/>
    <col min="7" max="7" width="14.1640625" bestFit="1" customWidth="1"/>
    <col min="8" max="9" width="21.33203125" bestFit="1" customWidth="1"/>
    <col min="10" max="10" width="11.5" bestFit="1" customWidth="1"/>
  </cols>
  <sheetData>
    <row r="1" spans="1:15">
      <c r="A1" s="4" t="s">
        <v>2</v>
      </c>
      <c r="B1" s="4"/>
      <c r="C1" s="4"/>
      <c r="D1" s="4"/>
      <c r="E1" s="4"/>
      <c r="F1" s="4"/>
    </row>
    <row r="2" spans="1:15">
      <c r="A2" s="4"/>
      <c r="B2" s="4" t="s">
        <v>0</v>
      </c>
      <c r="C2" s="4" t="s">
        <v>9</v>
      </c>
      <c r="D2" s="4" t="s">
        <v>10</v>
      </c>
      <c r="E2" s="4" t="s">
        <v>1</v>
      </c>
      <c r="F2" s="13" t="s">
        <v>18</v>
      </c>
      <c r="G2" s="8"/>
      <c r="H2">
        <v>65659801</v>
      </c>
      <c r="I2">
        <v>626</v>
      </c>
    </row>
    <row r="3" spans="1:15">
      <c r="A3" s="4" t="s">
        <v>3</v>
      </c>
      <c r="B3" s="5">
        <f>C3+D3</f>
        <v>65659801</v>
      </c>
      <c r="C3" s="5">
        <f>H2*(1-28%)</f>
        <v>47275056.719999999</v>
      </c>
      <c r="D3" s="5">
        <f>H2*28%</f>
        <v>18384744.280000001</v>
      </c>
      <c r="E3" s="5">
        <f>D3*(1+F3)</f>
        <v>22980930.350000001</v>
      </c>
      <c r="F3" s="14">
        <v>0.25</v>
      </c>
    </row>
    <row r="4" spans="1:15">
      <c r="A4" s="4" t="s">
        <v>4</v>
      </c>
      <c r="B4" s="6">
        <f>B5/B3</f>
        <v>2.5791999999999999E-2</v>
      </c>
      <c r="C4" s="6">
        <v>2.75E-2</v>
      </c>
      <c r="D4" s="6">
        <v>2.1399999999999999E-2</v>
      </c>
      <c r="E4" s="6">
        <f>D4*(F4+1)</f>
        <v>2.3004999999999998E-2</v>
      </c>
      <c r="F4" s="15">
        <f>F3*30%</f>
        <v>7.4999999999999997E-2</v>
      </c>
    </row>
    <row r="5" spans="1:15">
      <c r="A5" s="13" t="s">
        <v>15</v>
      </c>
      <c r="B5" s="5">
        <f>C5+D5</f>
        <v>1693497.587392</v>
      </c>
      <c r="C5" s="5">
        <f>C3*C4</f>
        <v>1300064.0597999999</v>
      </c>
      <c r="D5" s="5">
        <f>D3*D4</f>
        <v>393433.52759200003</v>
      </c>
      <c r="E5" s="5">
        <f>E3*E4</f>
        <v>528676.30270174996</v>
      </c>
      <c r="F5" s="4"/>
      <c r="L5" t="s">
        <v>14</v>
      </c>
      <c r="M5">
        <v>5.67</v>
      </c>
      <c r="N5" s="11">
        <v>0.05</v>
      </c>
    </row>
    <row r="6" spans="1:15">
      <c r="A6" s="4" t="s">
        <v>5</v>
      </c>
      <c r="B6" s="6">
        <f>C6*72%+D6*28%</f>
        <v>0.19020799999999999</v>
      </c>
      <c r="C6" s="6">
        <v>0.1787</v>
      </c>
      <c r="D6" s="6">
        <v>0.2198</v>
      </c>
      <c r="E6" s="6">
        <f>D6*(1+F6)</f>
        <v>0.2198</v>
      </c>
      <c r="F6" s="14"/>
      <c r="I6" t="s">
        <v>23</v>
      </c>
      <c r="L6" t="s">
        <v>20</v>
      </c>
      <c r="M6" s="9">
        <f>M5*(1+N5)</f>
        <v>5.9535</v>
      </c>
    </row>
    <row r="7" spans="1:15">
      <c r="A7" s="4" t="s">
        <v>6</v>
      </c>
      <c r="B7" s="6">
        <f>C7*72%+D7*28%</f>
        <v>0.2936965808</v>
      </c>
      <c r="C7" s="6">
        <v>0.35699999999999998</v>
      </c>
      <c r="D7" s="6">
        <f>18.83%*27.91%+(1-27.91%)*10.87%</f>
        <v>0.13091636000000001</v>
      </c>
      <c r="E7" s="6">
        <f>D7*(1+F7)</f>
        <v>0.20946617600000003</v>
      </c>
      <c r="F7" s="14">
        <v>0.6</v>
      </c>
      <c r="I7" t="s">
        <v>24</v>
      </c>
      <c r="J7" s="3">
        <v>0.27910000000000001</v>
      </c>
      <c r="L7" t="s">
        <v>16</v>
      </c>
      <c r="M7">
        <v>2.78</v>
      </c>
    </row>
    <row r="8" spans="1:15">
      <c r="A8" s="4" t="s">
        <v>13</v>
      </c>
      <c r="B8" s="5">
        <f>C8+D8</f>
        <v>94259.97014907487</v>
      </c>
      <c r="C8" s="5">
        <f>C3*C4*C6*C7</f>
        <v>82938.756752594811</v>
      </c>
      <c r="D8" s="5">
        <f>D3*D4*D6*D7</f>
        <v>11321.213396480065</v>
      </c>
      <c r="E8" s="5">
        <f>E3*E4*E6*E7</f>
        <v>24340.60880243214</v>
      </c>
      <c r="F8" s="15">
        <f>E8/D8-1</f>
        <v>1.1499999999999999</v>
      </c>
      <c r="H8">
        <f>E8/D8-1</f>
        <v>1.1499999999999999</v>
      </c>
      <c r="L8" t="s">
        <v>19</v>
      </c>
      <c r="M8" s="9">
        <f>M7*(1+N5)/B6</f>
        <v>15.346357671601616</v>
      </c>
    </row>
    <row r="9" spans="1:15">
      <c r="A9" s="4" t="s">
        <v>11</v>
      </c>
      <c r="B9" s="6">
        <f>C9*72%+D9*28%</f>
        <v>0.17715600000000001</v>
      </c>
      <c r="C9" s="6">
        <v>0.18759999999999999</v>
      </c>
      <c r="D9" s="6">
        <v>0.15029999999999999</v>
      </c>
      <c r="E9" s="6">
        <f>D9</f>
        <v>0.15029999999999999</v>
      </c>
      <c r="F9" s="4"/>
    </row>
    <row r="10" spans="1:15">
      <c r="A10" s="13" t="s">
        <v>22</v>
      </c>
      <c r="B10" s="6">
        <f>B6*B7*B9</f>
        <v>9.8965434421442976E-3</v>
      </c>
      <c r="C10" s="6">
        <f>C6*C7*C9</f>
        <v>1.1968110839999999E-2</v>
      </c>
      <c r="D10" s="6">
        <f t="shared" ref="D10:E10" si="0">D6*D7*D9</f>
        <v>4.3249450139784002E-3</v>
      </c>
      <c r="E10" s="6">
        <f>E6*E7*E9</f>
        <v>6.9199120223654405E-3</v>
      </c>
      <c r="F10" s="4"/>
      <c r="H10" s="3">
        <f>1-H11</f>
        <v>0.72320000000000007</v>
      </c>
    </row>
    <row r="11" spans="1:15">
      <c r="A11" s="13" t="s">
        <v>21</v>
      </c>
      <c r="B11" s="6">
        <f>C11*72%+28%*D11</f>
        <v>1.8803999999999998E-2</v>
      </c>
      <c r="C11" s="6">
        <v>2.18E-2</v>
      </c>
      <c r="D11" s="6">
        <v>1.11E-2</v>
      </c>
      <c r="E11" s="6">
        <f>D11</f>
        <v>1.11E-2</v>
      </c>
      <c r="F11" s="4"/>
      <c r="H11" s="3">
        <v>0.27679999999999999</v>
      </c>
    </row>
    <row r="12" spans="1:15">
      <c r="A12" s="13" t="s">
        <v>12</v>
      </c>
      <c r="B12" s="6">
        <f>D27*B11+D28*B10</f>
        <v>4.8163119489996508E-3</v>
      </c>
      <c r="C12" s="6">
        <f>C10*H10+C11*H11</f>
        <v>1.4689577759487999E-2</v>
      </c>
      <c r="D12" s="6">
        <f>D10*H10+D11*H11</f>
        <v>6.2002802341091789E-3</v>
      </c>
      <c r="E12" s="6">
        <f>E10*H10+E11*H11</f>
        <v>8.0769603745746866E-3</v>
      </c>
      <c r="F12" s="4"/>
    </row>
    <row r="13" spans="1:15">
      <c r="A13" s="13" t="s">
        <v>25</v>
      </c>
      <c r="B13" s="5">
        <f>C13+D13</f>
        <v>21536.79022331228</v>
      </c>
      <c r="C13" s="5">
        <f>C5*C12</f>
        <v>19097.392098747754</v>
      </c>
      <c r="D13" s="5">
        <f t="shared" ref="D13" si="1">D5*D12</f>
        <v>2439.3981245645259</v>
      </c>
      <c r="E13" s="5">
        <f>E5*E12</f>
        <v>4270.0975478986866</v>
      </c>
      <c r="F13" s="4"/>
    </row>
    <row r="14" spans="1:15">
      <c r="A14" s="4" t="s">
        <v>7</v>
      </c>
      <c r="B14" s="5">
        <f>C14*72%+D14*28%</f>
        <v>652.29199999999992</v>
      </c>
      <c r="C14" s="5">
        <f>I2</f>
        <v>626</v>
      </c>
      <c r="D14" s="5">
        <f>C14*1.15</f>
        <v>719.9</v>
      </c>
      <c r="E14" s="5">
        <f>D14</f>
        <v>719.9</v>
      </c>
      <c r="F14" s="4"/>
    </row>
    <row r="15" spans="1:15">
      <c r="A15" s="4" t="s">
        <v>8</v>
      </c>
      <c r="B15" s="5">
        <f>B5*B10*B14</f>
        <v>10932265.486253344</v>
      </c>
      <c r="C15" s="5">
        <f>C13*C14</f>
        <v>11954967.453816094</v>
      </c>
      <c r="D15" s="5">
        <f t="shared" ref="D15:E15" si="2">D13*D14</f>
        <v>1756122.7098740023</v>
      </c>
      <c r="E15" s="5">
        <f>E13*E14</f>
        <v>3074043.2247322644</v>
      </c>
      <c r="F15" s="15">
        <f>E15/D15-1</f>
        <v>0.75047176797390192</v>
      </c>
      <c r="H15">
        <f>E15/D15-1</f>
        <v>0.75047176797390192</v>
      </c>
      <c r="J15" t="s">
        <v>26</v>
      </c>
      <c r="L15" t="s">
        <v>27</v>
      </c>
      <c r="N15" t="s">
        <v>28</v>
      </c>
      <c r="O15" t="s">
        <v>29</v>
      </c>
    </row>
    <row r="16" spans="1:15">
      <c r="A16" s="13" t="s">
        <v>16</v>
      </c>
      <c r="B16" s="7">
        <f>B17/B5</f>
        <v>2.7964671215880892</v>
      </c>
      <c r="C16" s="4">
        <v>2.98</v>
      </c>
      <c r="D16" s="4">
        <v>2.19</v>
      </c>
      <c r="E16" s="7">
        <f>E17/E5</f>
        <v>2.7170113288950399</v>
      </c>
      <c r="F16" s="4"/>
      <c r="J16" s="1">
        <f>(E16-D16)*E5/E8</f>
        <v>11.446648812429286</v>
      </c>
      <c r="L16">
        <f>O16/N16-1</f>
        <v>0.25869277559916326</v>
      </c>
      <c r="N16">
        <f>D16*D4</f>
        <v>4.6865999999999998E-2</v>
      </c>
      <c r="O16">
        <f>N16+J16*E4*E6*E7</f>
        <v>5.8989895621230387E-2</v>
      </c>
    </row>
    <row r="17" spans="1:10">
      <c r="A17" s="13" t="s">
        <v>17</v>
      </c>
      <c r="B17" s="5">
        <f>C17+D17</f>
        <v>4735810.3236304801</v>
      </c>
      <c r="C17" s="5">
        <f>C5*C16</f>
        <v>3874190.8982039997</v>
      </c>
      <c r="D17" s="5">
        <f t="shared" ref="D17:E17" si="3">D5*D16</f>
        <v>861619.42542648001</v>
      </c>
      <c r="E17" s="5">
        <f>E15/E18</f>
        <v>1436419.5037589981</v>
      </c>
      <c r="F17" s="18">
        <f>E17/D17-1</f>
        <v>0.66711596949895413</v>
      </c>
      <c r="H17" s="2">
        <f>C17+D17</f>
        <v>4735810.3236304801</v>
      </c>
    </row>
    <row r="18" spans="1:10">
      <c r="A18" s="13" t="s">
        <v>14</v>
      </c>
      <c r="B18" s="7">
        <f>B15/B17</f>
        <v>2.30842553632356</v>
      </c>
      <c r="C18" s="7">
        <f>C15/C17</f>
        <v>3.0857972071944588</v>
      </c>
      <c r="D18" s="7">
        <f>D15/D17</f>
        <v>2.0381651783265746</v>
      </c>
      <c r="E18" s="7">
        <f>D18*(1+F18)</f>
        <v>2.1400734372429033</v>
      </c>
      <c r="F18" s="15">
        <v>0.05</v>
      </c>
      <c r="H18">
        <f>E18/D18-1</f>
        <v>5.0000000000000044E-2</v>
      </c>
      <c r="J18" s="9"/>
    </row>
    <row r="19" spans="1:10">
      <c r="B19" s="3"/>
      <c r="C19" s="3"/>
      <c r="D19" s="3"/>
    </row>
    <row r="21" spans="1:10">
      <c r="F21" s="2"/>
    </row>
    <row r="23" spans="1:10">
      <c r="A23" t="s">
        <v>33</v>
      </c>
      <c r="G23" t="s">
        <v>37</v>
      </c>
    </row>
    <row r="24" spans="1:10">
      <c r="B24" s="2"/>
      <c r="C24" s="11"/>
    </row>
    <row r="25" spans="1:10">
      <c r="A25" s="4"/>
      <c r="B25" s="6" t="s">
        <v>30</v>
      </c>
      <c r="C25" s="4" t="s">
        <v>31</v>
      </c>
      <c r="D25" s="4" t="s">
        <v>32</v>
      </c>
    </row>
    <row r="26" spans="1:10">
      <c r="A26" s="4" t="s">
        <v>3</v>
      </c>
      <c r="B26" s="5">
        <f>D3*50.11653%</f>
        <v>9213795.882509483</v>
      </c>
      <c r="C26" s="5">
        <f>E3*50.2407766%</f>
        <v>11545797.877745098</v>
      </c>
      <c r="D26" s="18">
        <f>C26/B26-1</f>
        <v>0.25309894260436638</v>
      </c>
    </row>
    <row r="27" spans="1:10">
      <c r="A27" s="4" t="s">
        <v>4</v>
      </c>
      <c r="B27" s="6">
        <v>2.1600000000000001E-2</v>
      </c>
      <c r="C27" s="6">
        <v>2.3199999999999998E-2</v>
      </c>
      <c r="D27" s="18">
        <f>C27/B27-1</f>
        <v>7.4074074074073959E-2</v>
      </c>
      <c r="F27" s="3"/>
      <c r="G27" s="3"/>
    </row>
    <row r="28" spans="1:10">
      <c r="A28" s="13" t="s">
        <v>15</v>
      </c>
      <c r="B28" s="5">
        <f>B26*B27</f>
        <v>199017.99106220485</v>
      </c>
      <c r="C28" s="5">
        <f>C26*C27</f>
        <v>267862.51076368627</v>
      </c>
      <c r="D28" s="18">
        <f>C28/B28-1</f>
        <v>0.34592108650098607</v>
      </c>
      <c r="F28" s="3"/>
      <c r="G28" s="3"/>
    </row>
    <row r="29" spans="1:10">
      <c r="A29" s="4" t="s">
        <v>5</v>
      </c>
      <c r="B29" s="6">
        <v>0.21859999999999999</v>
      </c>
      <c r="C29" s="6">
        <v>0.22020000000000001</v>
      </c>
      <c r="D29" s="18">
        <f t="shared" ref="D29:D43" si="4">C29/B29-1</f>
        <v>7.3193046660569028E-3</v>
      </c>
      <c r="F29" s="3"/>
      <c r="G29" s="3"/>
      <c r="H29" s="3"/>
      <c r="I29" s="10"/>
    </row>
    <row r="30" spans="1:10">
      <c r="A30" s="4" t="s">
        <v>6</v>
      </c>
      <c r="B30" s="18">
        <v>0.13039999999999999</v>
      </c>
      <c r="C30" s="6">
        <v>0.2165</v>
      </c>
      <c r="D30" s="18">
        <f t="shared" si="4"/>
        <v>0.66027607361963203</v>
      </c>
    </row>
    <row r="31" spans="1:10">
      <c r="A31" s="4" t="s">
        <v>13</v>
      </c>
      <c r="B31" s="5">
        <f>B28*B29*B30</f>
        <v>5673.0954031442152</v>
      </c>
      <c r="C31" s="5">
        <f>C28*C29*C30</f>
        <v>12769.889834390446</v>
      </c>
      <c r="D31" s="18">
        <f t="shared" si="4"/>
        <v>1.2509562993269872</v>
      </c>
    </row>
    <row r="32" spans="1:10">
      <c r="A32" s="4" t="s">
        <v>11</v>
      </c>
      <c r="B32" s="18">
        <v>0.15279999999999999</v>
      </c>
      <c r="C32" s="18">
        <v>0.16259999999999999</v>
      </c>
      <c r="D32" s="18">
        <f t="shared" si="4"/>
        <v>6.4136125654450371E-2</v>
      </c>
      <c r="H32" s="12"/>
      <c r="I32" s="9"/>
    </row>
    <row r="33" spans="1:4">
      <c r="A33" s="13" t="s">
        <v>22</v>
      </c>
      <c r="B33" s="18">
        <f>B29*B30*B32</f>
        <v>4.3556312319999995E-3</v>
      </c>
      <c r="C33" s="18">
        <f>C29*C30*C32</f>
        <v>7.75167858E-3</v>
      </c>
      <c r="D33" s="18">
        <f t="shared" si="4"/>
        <v>0.77969120136936354</v>
      </c>
    </row>
    <row r="34" spans="1:4">
      <c r="A34" s="13" t="s">
        <v>21</v>
      </c>
      <c r="B34" s="18">
        <v>1.0800000000000001E-2</v>
      </c>
      <c r="C34" s="18">
        <v>1.0999999999999999E-2</v>
      </c>
      <c r="D34" s="18">
        <f t="shared" si="4"/>
        <v>1.8518518518518379E-2</v>
      </c>
    </row>
    <row r="35" spans="1:4">
      <c r="A35" s="13" t="s">
        <v>12</v>
      </c>
      <c r="B35" s="6">
        <f>B33*H10+B34*H11</f>
        <v>6.1394325069823999E-3</v>
      </c>
      <c r="C35" s="6">
        <f>C33*H10+C34*H11</f>
        <v>8.6508139490560007E-3</v>
      </c>
      <c r="D35" s="18">
        <f t="shared" si="4"/>
        <v>0.40905758622110389</v>
      </c>
    </row>
    <row r="36" spans="1:4">
      <c r="A36" s="13" t="s">
        <v>25</v>
      </c>
      <c r="B36" s="5">
        <f>B35*B28</f>
        <v>1221.8575238016331</v>
      </c>
      <c r="C36" s="5">
        <f>C35*C28</f>
        <v>2317.2287445436605</v>
      </c>
      <c r="D36" s="18">
        <f t="shared" si="4"/>
        <v>0.89648031738916512</v>
      </c>
    </row>
    <row r="37" spans="1:4">
      <c r="A37" s="4" t="s">
        <v>7</v>
      </c>
      <c r="B37" s="4">
        <v>720</v>
      </c>
      <c r="C37" s="4">
        <v>720</v>
      </c>
      <c r="D37" s="18"/>
    </row>
    <row r="38" spans="1:4">
      <c r="A38" s="4" t="s">
        <v>8</v>
      </c>
      <c r="B38" s="5">
        <f>B36*B37</f>
        <v>879737.4171371758</v>
      </c>
      <c r="C38" s="5">
        <f>C36*C37</f>
        <v>1668404.6960714355</v>
      </c>
      <c r="D38" s="18">
        <f t="shared" si="4"/>
        <v>0.89648031738916512</v>
      </c>
    </row>
    <row r="39" spans="1:4">
      <c r="A39" s="13" t="s">
        <v>16</v>
      </c>
      <c r="B39" s="4">
        <v>2.2200000000000002</v>
      </c>
      <c r="C39" s="4">
        <v>2.21</v>
      </c>
      <c r="D39" s="18"/>
    </row>
    <row r="40" spans="1:4">
      <c r="A40" s="13" t="s">
        <v>34</v>
      </c>
      <c r="B40" s="5">
        <f>B41+B42</f>
        <v>441819.9401580948</v>
      </c>
      <c r="C40" s="5">
        <f>C41+C42</f>
        <v>738148.59309542482</v>
      </c>
      <c r="D40" s="18">
        <f t="shared" si="4"/>
        <v>0.67070004316983933</v>
      </c>
    </row>
    <row r="41" spans="1:4">
      <c r="A41" s="13" t="s">
        <v>35</v>
      </c>
      <c r="B41" s="5">
        <f>B39*B28</f>
        <v>441819.9401580948</v>
      </c>
      <c r="C41" s="5">
        <f>C39*C28</f>
        <v>591976.14878774667</v>
      </c>
      <c r="D41" s="18">
        <f t="shared" si="4"/>
        <v>0.33985837890413473</v>
      </c>
    </row>
    <row r="42" spans="1:4">
      <c r="A42" s="13" t="s">
        <v>36</v>
      </c>
      <c r="B42" s="4"/>
      <c r="C42" s="5">
        <f>C31*J16</f>
        <v>146172.4443076782</v>
      </c>
      <c r="D42" s="18"/>
    </row>
    <row r="43" spans="1:4">
      <c r="A43" s="13" t="s">
        <v>14</v>
      </c>
      <c r="B43" s="7">
        <f>B38/B40</f>
        <v>1.991167299561859</v>
      </c>
      <c r="C43" s="7">
        <f>C38/C40</f>
        <v>2.2602558775801271</v>
      </c>
      <c r="D43" s="18">
        <f t="shared" si="4"/>
        <v>0.1351411195219403</v>
      </c>
    </row>
    <row r="59" spans="1:4" ht="17" thickBot="1">
      <c r="A59" s="16">
        <v>18384744</v>
      </c>
      <c r="C59" s="17">
        <v>1.2E-2</v>
      </c>
      <c r="D59" s="3">
        <f>1-D60</f>
        <v>0.72320000000000007</v>
      </c>
    </row>
    <row r="60" spans="1:4" ht="17" thickBot="1">
      <c r="A60" s="17">
        <v>2.1399999999999999E-2</v>
      </c>
      <c r="C60" s="17">
        <v>1.11E-2</v>
      </c>
      <c r="D60" s="3">
        <v>0.27679999999999999</v>
      </c>
    </row>
    <row r="61" spans="1:4" ht="17" thickBot="1">
      <c r="A61" s="16">
        <v>393434</v>
      </c>
      <c r="C61" s="3">
        <f>C59*D59+C60*D60</f>
        <v>1.1750880000000002E-2</v>
      </c>
    </row>
    <row r="62" spans="1:4" ht="17" thickBot="1">
      <c r="A62" s="17">
        <v>0.2198</v>
      </c>
    </row>
    <row r="63" spans="1:4" ht="17" thickBot="1">
      <c r="A63" s="17">
        <v>0.35699999999999998</v>
      </c>
    </row>
    <row r="64" spans="1:4">
      <c r="A64">
        <f>A59*A60*A62*A63</f>
        <v>30872.177633021758</v>
      </c>
      <c r="C64">
        <f>C61*A59*A60</f>
        <v>4623.190100299008</v>
      </c>
      <c r="D64">
        <f>C64*720</f>
        <v>3328696.8722152859</v>
      </c>
    </row>
    <row r="69" spans="3:5" ht="17" thickBot="1">
      <c r="C69" s="16">
        <v>3328697</v>
      </c>
    </row>
    <row r="70" spans="3:5" ht="17" thickBot="1">
      <c r="C70" s="16">
        <v>2.19</v>
      </c>
    </row>
    <row r="71" spans="3:5" ht="17" thickBot="1">
      <c r="C71" s="16">
        <v>861619</v>
      </c>
    </row>
    <row r="73" spans="3:5">
      <c r="C73">
        <f>C69/C71</f>
        <v>3.8633050106833764</v>
      </c>
    </row>
    <row r="78" spans="3:5" ht="17" thickBot="1">
      <c r="C78" s="16">
        <v>11321</v>
      </c>
      <c r="D78" s="16">
        <v>30872</v>
      </c>
      <c r="E78">
        <f>D78/C78-1</f>
        <v>1.7269675823690487</v>
      </c>
    </row>
    <row r="79" spans="3:5" ht="17" thickBot="1">
      <c r="C79" s="16">
        <v>1756123</v>
      </c>
      <c r="D79" s="16">
        <v>3328697</v>
      </c>
      <c r="E79">
        <f>D79/C79-1</f>
        <v>0.8954805557469494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Zhaohui Zhu</dc:creator>
  <cp:lastModifiedBy>Zhaohui Zhu</cp:lastModifiedBy>
  <dcterms:created xsi:type="dcterms:W3CDTF">2024-10-09T18:11:54Z</dcterms:created>
  <dcterms:modified xsi:type="dcterms:W3CDTF">2024-10-11T07:53:44Z</dcterms:modified>
</cp:coreProperties>
</file>