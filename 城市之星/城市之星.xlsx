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8_{1F49936A-9311-7B47-8659-832F39994304}" xr6:coauthVersionLast="47" xr6:coauthVersionMax="47" xr10:uidLastSave="{00000000-0000-0000-0000-000000000000}"/>
  <bookViews>
    <workbookView xWindow="1060" yWindow="860" windowWidth="28100" windowHeight="17360" xr2:uid="{71883391-2110-1B44-8FD5-CC6E13A39D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C61" i="1"/>
  <c r="H55" i="1"/>
  <c r="H53" i="1"/>
  <c r="D55" i="1"/>
  <c r="D58" i="1"/>
  <c r="C58" i="1"/>
  <c r="C59" i="1"/>
  <c r="C57" i="1"/>
  <c r="D57" i="1"/>
  <c r="C56" i="1"/>
  <c r="D56" i="1"/>
  <c r="F55" i="1"/>
  <c r="C55" i="1"/>
  <c r="E55" i="1" s="1"/>
  <c r="D53" i="1"/>
  <c r="F53" i="1" s="1"/>
  <c r="E53" i="1"/>
  <c r="C54" i="1"/>
  <c r="C53" i="1"/>
  <c r="D52" i="1"/>
  <c r="F52" i="1" s="1"/>
  <c r="C52" i="1"/>
  <c r="E52" i="1" s="1"/>
  <c r="B52" i="1"/>
  <c r="B50" i="1"/>
  <c r="B46" i="1"/>
  <c r="B41" i="1"/>
  <c r="B43" i="1" s="1"/>
  <c r="B45" i="1" s="1"/>
  <c r="B47" i="1"/>
  <c r="B40" i="1"/>
  <c r="J15" i="1"/>
  <c r="G11" i="1"/>
  <c r="H11" i="1" s="1"/>
  <c r="G9" i="1"/>
  <c r="F2" i="1"/>
  <c r="F3" i="1"/>
  <c r="F4" i="1"/>
  <c r="F5" i="1"/>
  <c r="E5" i="1"/>
  <c r="B5" i="1"/>
  <c r="D59" i="1" l="1"/>
  <c r="D54" i="1"/>
  <c r="B54" i="1"/>
  <c r="B48" i="1"/>
  <c r="B56" i="1" l="1"/>
  <c r="E54" i="1"/>
  <c r="F54" i="1"/>
  <c r="B57" i="1" l="1"/>
  <c r="F56" i="1"/>
  <c r="E56" i="1"/>
  <c r="F57" i="1" l="1"/>
  <c r="E57" i="1"/>
</calcChain>
</file>

<file path=xl/sharedStrings.xml><?xml version="1.0" encoding="utf-8"?>
<sst xmlns="http://schemas.openxmlformats.org/spreadsheetml/2006/main" count="71" uniqueCount="59">
  <si>
    <t>流量资源位</t>
  </si>
  <si>
    <t>首页信息流</t>
  </si>
  <si>
    <t>店铺详情页推荐</t>
  </si>
  <si>
    <t>团购详情页推荐</t>
  </si>
  <si>
    <t>支付结果页推荐</t>
  </si>
  <si>
    <t>广告占比</t>
  </si>
  <si>
    <t>广告占比</t>
    <phoneticPr fontId="2" type="noConversion"/>
  </si>
  <si>
    <t>广告流量占比</t>
  </si>
  <si>
    <t>广告流量占比</t>
    <phoneticPr fontId="2" type="noConversion"/>
  </si>
  <si>
    <t>广告ctr</t>
  </si>
  <si>
    <t>广告ctr</t>
    <phoneticPr fontId="2" type="noConversion"/>
  </si>
  <si>
    <t>广告收入占比</t>
    <phoneticPr fontId="2" type="noConversion"/>
  </si>
  <si>
    <t>CPC收入占比</t>
    <phoneticPr fontId="2" type="noConversion"/>
  </si>
  <si>
    <t>CPM收入占比</t>
    <phoneticPr fontId="2" type="noConversion"/>
  </si>
  <si>
    <t>ROI</t>
  </si>
  <si>
    <t>整体</t>
  </si>
  <si>
    <t>一级类目相同</t>
  </si>
  <si>
    <t>二级类目相同</t>
  </si>
  <si>
    <t>第一位</t>
  </si>
  <si>
    <t>一级类目</t>
  </si>
  <si>
    <t>二级类目</t>
  </si>
  <si>
    <t>丽人医美</t>
  </si>
  <si>
    <t>美发</t>
  </si>
  <si>
    <t>眼科</t>
  </si>
  <si>
    <t>美甲美睫</t>
  </si>
  <si>
    <t>医美</t>
  </si>
  <si>
    <t>口腔医疗</t>
  </si>
  <si>
    <t>瑜伽</t>
  </si>
  <si>
    <t>休闲娱乐</t>
  </si>
  <si>
    <t>宠物</t>
  </si>
  <si>
    <t>运动健身</t>
  </si>
  <si>
    <t>足浴</t>
  </si>
  <si>
    <t>桌游</t>
  </si>
  <si>
    <t>酒吧</t>
  </si>
  <si>
    <t>新奇体验</t>
  </si>
  <si>
    <t>亲子</t>
  </si>
  <si>
    <t>LE</t>
  </si>
  <si>
    <t>结婚</t>
  </si>
  <si>
    <t>家政</t>
  </si>
  <si>
    <t>学习培训</t>
  </si>
  <si>
    <t>装修</t>
  </si>
  <si>
    <t>美容spa</t>
  </si>
  <si>
    <t>最低费用</t>
    <phoneticPr fontId="2" type="noConversion"/>
  </si>
  <si>
    <t>最高费用</t>
    <phoneticPr fontId="2" type="noConversion"/>
  </si>
  <si>
    <t>曝光</t>
    <phoneticPr fontId="2" type="noConversion"/>
  </si>
  <si>
    <t>ctr</t>
    <phoneticPr fontId="2" type="noConversion"/>
  </si>
  <si>
    <t>点击</t>
    <phoneticPr fontId="2" type="noConversion"/>
  </si>
  <si>
    <t>cvr</t>
    <phoneticPr fontId="2" type="noConversion"/>
  </si>
  <si>
    <t>订单</t>
    <phoneticPr fontId="2" type="noConversion"/>
  </si>
  <si>
    <t>GMV</t>
    <phoneticPr fontId="2" type="noConversion"/>
  </si>
  <si>
    <t>CPT</t>
    <phoneticPr fontId="2" type="noConversion"/>
  </si>
  <si>
    <t>ROI</t>
    <phoneticPr fontId="2" type="noConversion"/>
  </si>
  <si>
    <t>商户</t>
    <phoneticPr fontId="2" type="noConversion"/>
  </si>
  <si>
    <t>商户数</t>
    <phoneticPr fontId="2" type="noConversion"/>
  </si>
  <si>
    <t>A组</t>
    <phoneticPr fontId="2" type="noConversion"/>
  </si>
  <si>
    <t>B组</t>
    <phoneticPr fontId="2" type="noConversion"/>
  </si>
  <si>
    <t>C组</t>
    <phoneticPr fontId="2" type="noConversion"/>
  </si>
  <si>
    <t>增长1</t>
    <phoneticPr fontId="2" type="noConversion"/>
  </si>
  <si>
    <t>增长2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</si>
</sst>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0" fontId="0" fillId="0" borderId="1" xfId="1" applyNumberFormat="1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1D64-D9F0-9D4A-B3B5-0C60B103EFE4}">
  <dimension ref="A1:J61"/>
  <sheetViews>
    <sheetView tabSelected="1" topLeftCell="A49" workbookViewId="0">
      <selection activeCell="D61" sqref="D61"/>
    </sheetView>
  </sheetViews>
  <sheetFormatPr baseColWidth="10" defaultRowHeight="16"/>
  <cols>
    <col min="1" max="1" width="16.33203125" bestFit="1" customWidth="1"/>
    <col min="2" max="2" width="12.5" customWidth="1"/>
    <col min="3" max="3" width="14.1640625" bestFit="1" customWidth="1"/>
    <col min="5" max="5" width="14.1640625" bestFit="1" customWidth="1"/>
    <col min="6" max="6" width="13.83203125" bestFit="1" customWidth="1"/>
    <col min="7" max="7" width="14.1640625" bestFit="1" customWidth="1"/>
    <col min="8" max="8" width="21.33203125" bestFit="1" customWidth="1"/>
  </cols>
  <sheetData>
    <row r="1" spans="1:10">
      <c r="A1" t="s">
        <v>0</v>
      </c>
      <c r="B1" t="s">
        <v>6</v>
      </c>
      <c r="C1" t="s">
        <v>8</v>
      </c>
      <c r="D1" t="s">
        <v>10</v>
      </c>
      <c r="E1" t="s">
        <v>11</v>
      </c>
      <c r="F1" t="s">
        <v>12</v>
      </c>
      <c r="G1" t="s">
        <v>13</v>
      </c>
    </row>
    <row r="2" spans="1:10">
      <c r="A2" t="s">
        <v>1</v>
      </c>
      <c r="B2" s="1">
        <v>0.54237000000000002</v>
      </c>
      <c r="C2" s="1">
        <v>0.37280000000000002</v>
      </c>
      <c r="D2" s="1">
        <v>5.9200000000000003E-2</v>
      </c>
      <c r="E2" s="1">
        <v>0.61939999999999995</v>
      </c>
      <c r="F2" s="1">
        <f t="shared" ref="F2:F4" si="0">1-G2</f>
        <v>0.60729999999999995</v>
      </c>
      <c r="G2" s="1">
        <v>0.39269999999999999</v>
      </c>
    </row>
    <row r="3" spans="1:10">
      <c r="A3" t="s">
        <v>2</v>
      </c>
      <c r="B3" s="1">
        <v>0.1229</v>
      </c>
      <c r="C3" s="1">
        <v>0.443</v>
      </c>
      <c r="D3" s="1">
        <v>2.07E-2</v>
      </c>
      <c r="E3" s="1">
        <v>9.2200000000000004E-2</v>
      </c>
      <c r="F3" s="1">
        <f t="shared" si="0"/>
        <v>0.33330000000000004</v>
      </c>
      <c r="G3" s="1">
        <v>0.66669999999999996</v>
      </c>
    </row>
    <row r="4" spans="1:10">
      <c r="A4" t="s">
        <v>3</v>
      </c>
      <c r="B4" s="1">
        <v>0.24729999999999999</v>
      </c>
      <c r="C4" s="1">
        <v>0.45369999999999999</v>
      </c>
      <c r="D4" s="1">
        <v>3.9399999999999998E-2</v>
      </c>
      <c r="E4" s="1">
        <v>0.2737</v>
      </c>
      <c r="F4" s="1">
        <f t="shared" si="0"/>
        <v>0.45709999999999995</v>
      </c>
      <c r="G4" s="1">
        <v>0.54290000000000005</v>
      </c>
    </row>
    <row r="5" spans="1:10">
      <c r="A5" t="s">
        <v>4</v>
      </c>
      <c r="B5" s="1">
        <f>100%-B4-B3-B2</f>
        <v>8.7430000000000008E-2</v>
      </c>
      <c r="C5" s="1">
        <v>0.85699999999999998</v>
      </c>
      <c r="D5" s="1">
        <v>1.8700000000000001E-2</v>
      </c>
      <c r="E5" s="1">
        <f>100%-E4-E3-E2</f>
        <v>1.4699999999999935E-2</v>
      </c>
      <c r="F5" s="1">
        <f>1-G5</f>
        <v>0.27090000000000003</v>
      </c>
      <c r="G5" s="1">
        <v>0.72909999999999997</v>
      </c>
    </row>
    <row r="8" spans="1:10">
      <c r="A8" t="s">
        <v>0</v>
      </c>
      <c r="C8" t="s">
        <v>5</v>
      </c>
      <c r="D8" t="s">
        <v>7</v>
      </c>
      <c r="E8" t="s">
        <v>9</v>
      </c>
      <c r="F8" t="s">
        <v>14</v>
      </c>
    </row>
    <row r="9" spans="1:10">
      <c r="A9" t="s">
        <v>15</v>
      </c>
      <c r="B9" t="s">
        <v>16</v>
      </c>
      <c r="C9" s="1">
        <v>0.55879999999999996</v>
      </c>
      <c r="D9" s="1">
        <v>0.437</v>
      </c>
      <c r="E9" s="1">
        <v>4.2599999999999999E-2</v>
      </c>
      <c r="F9">
        <v>3.75</v>
      </c>
      <c r="G9" s="2">
        <f>F9*C9/(C9+C10)+F10*C10/(C9+C10)</f>
        <v>3.7814877916440586</v>
      </c>
    </row>
    <row r="10" spans="1:10">
      <c r="B10" t="s">
        <v>17</v>
      </c>
      <c r="C10" s="1">
        <v>0.36270000000000002</v>
      </c>
      <c r="D10" s="1">
        <v>0.27629999999999999</v>
      </c>
      <c r="E10" s="1">
        <v>4.4400000000000002E-2</v>
      </c>
      <c r="F10">
        <v>3.83</v>
      </c>
    </row>
    <row r="11" spans="1:10">
      <c r="A11" t="s">
        <v>18</v>
      </c>
      <c r="B11" t="s">
        <v>16</v>
      </c>
      <c r="C11" s="1">
        <v>0.28189999999999998</v>
      </c>
      <c r="D11" s="1">
        <v>0.12770000000000001</v>
      </c>
      <c r="E11" s="1">
        <v>5.21E-2</v>
      </c>
      <c r="F11">
        <v>4.01</v>
      </c>
      <c r="G11" s="2">
        <f>F11*C11/(C11+C12)+F12*C12/(C11+C12)</f>
        <v>4.024216806296014</v>
      </c>
      <c r="H11" s="3">
        <f>G11/G9-1</f>
        <v>6.4188760621761931E-2</v>
      </c>
    </row>
    <row r="12" spans="1:10">
      <c r="B12" t="s">
        <v>17</v>
      </c>
      <c r="C12" s="1">
        <v>0.112</v>
      </c>
      <c r="D12" s="1">
        <v>8.3900000000000002E-2</v>
      </c>
      <c r="E12" s="1">
        <v>5.7599999999999998E-2</v>
      </c>
      <c r="F12">
        <v>4.0599999999999996</v>
      </c>
    </row>
    <row r="15" spans="1:10">
      <c r="F15" s="1">
        <v>0.28189999999999998</v>
      </c>
      <c r="G15" s="1">
        <v>0.12770000000000001</v>
      </c>
      <c r="I15" s="1">
        <v>5.21E-2</v>
      </c>
      <c r="J15" s="3">
        <f>I15*F15/(F15+F16)+I16*F16/(F15+F16)</f>
        <v>5.3663848692561564E-2</v>
      </c>
    </row>
    <row r="16" spans="1:10">
      <c r="F16" s="1">
        <v>0.112</v>
      </c>
      <c r="G16" s="1">
        <v>8.3900000000000002E-2</v>
      </c>
      <c r="I16" s="1">
        <v>5.7599999999999998E-2</v>
      </c>
    </row>
    <row r="18" spans="1:5">
      <c r="A18" t="s">
        <v>19</v>
      </c>
      <c r="B18" t="s">
        <v>20</v>
      </c>
      <c r="C18" t="s">
        <v>14</v>
      </c>
      <c r="D18" t="s">
        <v>42</v>
      </c>
      <c r="E18" t="s">
        <v>43</v>
      </c>
    </row>
    <row r="19" spans="1:5">
      <c r="A19" t="s">
        <v>21</v>
      </c>
      <c r="B19" t="s">
        <v>22</v>
      </c>
      <c r="D19">
        <v>100</v>
      </c>
      <c r="E19">
        <v>1000</v>
      </c>
    </row>
    <row r="20" spans="1:5">
      <c r="B20" t="s">
        <v>23</v>
      </c>
      <c r="D20">
        <v>100</v>
      </c>
      <c r="E20">
        <v>400</v>
      </c>
    </row>
    <row r="21" spans="1:5">
      <c r="B21" t="s">
        <v>41</v>
      </c>
      <c r="D21">
        <v>100</v>
      </c>
      <c r="E21">
        <v>1500</v>
      </c>
    </row>
    <row r="22" spans="1:5">
      <c r="B22" t="s">
        <v>24</v>
      </c>
      <c r="D22">
        <v>80</v>
      </c>
      <c r="E22">
        <v>500</v>
      </c>
    </row>
    <row r="23" spans="1:5">
      <c r="B23" t="s">
        <v>25</v>
      </c>
      <c r="D23">
        <v>200</v>
      </c>
      <c r="E23">
        <v>4000</v>
      </c>
    </row>
    <row r="24" spans="1:5">
      <c r="B24" t="s">
        <v>26</v>
      </c>
      <c r="D24">
        <v>150</v>
      </c>
      <c r="E24">
        <v>4000</v>
      </c>
    </row>
    <row r="25" spans="1:5">
      <c r="B25" t="s">
        <v>27</v>
      </c>
      <c r="D25">
        <v>100</v>
      </c>
      <c r="E25">
        <v>600</v>
      </c>
    </row>
    <row r="26" spans="1:5">
      <c r="A26" t="s">
        <v>28</v>
      </c>
      <c r="B26" t="s">
        <v>29</v>
      </c>
      <c r="D26">
        <v>100</v>
      </c>
      <c r="E26">
        <v>600</v>
      </c>
    </row>
    <row r="27" spans="1:5">
      <c r="B27" t="s">
        <v>30</v>
      </c>
      <c r="D27">
        <v>100</v>
      </c>
      <c r="E27">
        <v>1500</v>
      </c>
    </row>
    <row r="28" spans="1:5">
      <c r="B28" t="s">
        <v>31</v>
      </c>
      <c r="D28">
        <v>300</v>
      </c>
      <c r="E28">
        <v>5000</v>
      </c>
    </row>
    <row r="29" spans="1:5">
      <c r="B29" t="s">
        <v>32</v>
      </c>
      <c r="D29">
        <v>100</v>
      </c>
      <c r="E29">
        <v>1500</v>
      </c>
    </row>
    <row r="30" spans="1:5">
      <c r="B30" t="s">
        <v>33</v>
      </c>
      <c r="D30">
        <v>80</v>
      </c>
      <c r="E30">
        <v>400</v>
      </c>
    </row>
    <row r="31" spans="1:5">
      <c r="B31" t="s">
        <v>34</v>
      </c>
      <c r="D31">
        <v>80</v>
      </c>
      <c r="E31">
        <v>600</v>
      </c>
    </row>
    <row r="32" spans="1:5">
      <c r="B32" t="s">
        <v>35</v>
      </c>
      <c r="D32">
        <v>150</v>
      </c>
      <c r="E32">
        <v>1500</v>
      </c>
    </row>
    <row r="33" spans="1:5">
      <c r="A33" t="s">
        <v>36</v>
      </c>
      <c r="B33" t="s">
        <v>37</v>
      </c>
      <c r="D33">
        <v>500</v>
      </c>
      <c r="E33">
        <v>3000</v>
      </c>
    </row>
    <row r="34" spans="1:5">
      <c r="B34" t="s">
        <v>38</v>
      </c>
      <c r="D34">
        <v>100</v>
      </c>
      <c r="E34">
        <v>400</v>
      </c>
    </row>
    <row r="35" spans="1:5">
      <c r="B35" t="s">
        <v>39</v>
      </c>
      <c r="D35">
        <v>150</v>
      </c>
      <c r="E35">
        <v>3000</v>
      </c>
    </row>
    <row r="36" spans="1:5">
      <c r="B36" t="s">
        <v>40</v>
      </c>
      <c r="D36">
        <v>80</v>
      </c>
      <c r="E36">
        <v>400</v>
      </c>
    </row>
    <row r="40" spans="1:5">
      <c r="A40" t="s">
        <v>52</v>
      </c>
      <c r="B40">
        <f>18*301</f>
        <v>5418</v>
      </c>
    </row>
    <row r="41" spans="1:5">
      <c r="A41" s="5" t="s">
        <v>44</v>
      </c>
      <c r="B41" s="5">
        <f>18*7*301*2827</f>
        <v>107216802</v>
      </c>
    </row>
    <row r="42" spans="1:5">
      <c r="A42" s="5" t="s">
        <v>45</v>
      </c>
      <c r="B42" s="6">
        <v>5.3800000000000001E-2</v>
      </c>
    </row>
    <row r="43" spans="1:5">
      <c r="A43" s="5" t="s">
        <v>46</v>
      </c>
      <c r="B43" s="7">
        <f>B41*B42</f>
        <v>5768263.9475999996</v>
      </c>
    </row>
    <row r="44" spans="1:5">
      <c r="A44" s="5" t="s">
        <v>47</v>
      </c>
      <c r="B44" s="6">
        <v>6.25E-2</v>
      </c>
    </row>
    <row r="45" spans="1:5">
      <c r="A45" s="5" t="s">
        <v>48</v>
      </c>
      <c r="B45" s="7">
        <f>B43*B44</f>
        <v>360516.49672499998</v>
      </c>
    </row>
    <row r="46" spans="1:5">
      <c r="A46" s="5" t="s">
        <v>49</v>
      </c>
      <c r="B46" s="7">
        <f>B45*270.9</f>
        <v>97663918.962802485</v>
      </c>
    </row>
    <row r="47" spans="1:5">
      <c r="A47" s="5" t="s">
        <v>50</v>
      </c>
      <c r="B47" s="5">
        <f>B40*619*7</f>
        <v>23476194</v>
      </c>
    </row>
    <row r="48" spans="1:5">
      <c r="A48" s="5" t="s">
        <v>51</v>
      </c>
      <c r="B48" s="8">
        <f>B46/B47</f>
        <v>4.1601257411147001</v>
      </c>
    </row>
    <row r="50" spans="1:8">
      <c r="A50" t="s">
        <v>53</v>
      </c>
      <c r="B50" s="4">
        <f>B40*65.21%</f>
        <v>3533.0777999999996</v>
      </c>
    </row>
    <row r="51" spans="1:8">
      <c r="A51" s="5"/>
      <c r="B51" s="5" t="s">
        <v>54</v>
      </c>
      <c r="C51" s="5" t="s">
        <v>55</v>
      </c>
      <c r="D51" s="5" t="s">
        <v>56</v>
      </c>
      <c r="E51" s="5" t="s">
        <v>57</v>
      </c>
      <c r="F51" s="5" t="s">
        <v>58</v>
      </c>
    </row>
    <row r="52" spans="1:8">
      <c r="A52" s="5" t="s">
        <v>44</v>
      </c>
      <c r="B52" s="7">
        <f>B50*7*2764*B50/B40</f>
        <v>44576244.805836231</v>
      </c>
      <c r="C52" s="7">
        <f>B52*1.0976</f>
        <v>48926886.298885845</v>
      </c>
      <c r="D52" s="7">
        <f>B52*1.0969</f>
        <v>48895682.927521758</v>
      </c>
      <c r="E52" s="9">
        <f>C52/B52-1</f>
        <v>9.7599999999999909E-2</v>
      </c>
      <c r="F52" s="9">
        <f>D52/B52-1</f>
        <v>9.6899999999999986E-2</v>
      </c>
    </row>
    <row r="53" spans="1:8">
      <c r="A53" s="5" t="s">
        <v>45</v>
      </c>
      <c r="B53" s="9">
        <v>4.7699999999999999E-2</v>
      </c>
      <c r="C53" s="9">
        <f>B42*0.9836</f>
        <v>5.2917680000000002E-2</v>
      </c>
      <c r="D53" s="9">
        <f>C53*1.02327</f>
        <v>5.41490744136E-2</v>
      </c>
      <c r="E53" s="9">
        <f t="shared" ref="E53:E57" si="1">C53/B53-1</f>
        <v>0.10938532494758912</v>
      </c>
      <c r="F53" s="9">
        <f t="shared" ref="F53:F57" si="2">D53/B53-1</f>
        <v>0.13520072145911954</v>
      </c>
      <c r="H53" s="1">
        <f>D53/C53-1</f>
        <v>2.3269999999999902E-2</v>
      </c>
    </row>
    <row r="54" spans="1:8">
      <c r="A54" s="5" t="s">
        <v>46</v>
      </c>
      <c r="B54" s="7">
        <f>B52*B53</f>
        <v>2126286.8772383882</v>
      </c>
      <c r="C54" s="7">
        <f t="shared" ref="C54:D54" si="3">C52*C53</f>
        <v>2589097.3125608256</v>
      </c>
      <c r="D54" s="7">
        <f t="shared" si="3"/>
        <v>2647655.9733461668</v>
      </c>
      <c r="E54" s="9">
        <f t="shared" si="1"/>
        <v>0.21766133266247389</v>
      </c>
      <c r="F54" s="9">
        <f t="shared" si="2"/>
        <v>0.24520167136850812</v>
      </c>
    </row>
    <row r="55" spans="1:8">
      <c r="A55" s="5" t="s">
        <v>47</v>
      </c>
      <c r="B55" s="9">
        <v>5.6300000000000003E-2</v>
      </c>
      <c r="C55" s="9">
        <f>B44*1.01726</f>
        <v>6.3578750000000003E-2</v>
      </c>
      <c r="D55" s="9">
        <f>C55*0.9896</f>
        <v>6.2917530999999999E-2</v>
      </c>
      <c r="E55" s="9">
        <f t="shared" si="1"/>
        <v>0.129285079928952</v>
      </c>
      <c r="F55" s="9">
        <f t="shared" si="2"/>
        <v>0.11754051509769092</v>
      </c>
      <c r="H55" s="1">
        <f>D55/C55-1</f>
        <v>-1.0400000000000076E-2</v>
      </c>
    </row>
    <row r="56" spans="1:8">
      <c r="A56" s="5" t="s">
        <v>48</v>
      </c>
      <c r="B56" s="7">
        <f>B54*B55</f>
        <v>119709.95118852126</v>
      </c>
      <c r="C56" s="7">
        <f t="shared" ref="C56:D56" si="4">C54*C55</f>
        <v>164611.57076097661</v>
      </c>
      <c r="D56" s="7">
        <f t="shared" si="4"/>
        <v>166583.97678034261</v>
      </c>
      <c r="E56" s="9">
        <f t="shared" si="1"/>
        <v>0.37508677538213608</v>
      </c>
      <c r="F56" s="9">
        <f t="shared" si="2"/>
        <v>0.39156331722166815</v>
      </c>
    </row>
    <row r="57" spans="1:8">
      <c r="A57" s="5" t="s">
        <v>49</v>
      </c>
      <c r="B57" s="7">
        <f>B56*330.3</f>
        <v>39540196.877568573</v>
      </c>
      <c r="C57" s="7">
        <f t="shared" ref="C57:D57" si="5">C56*330.3</f>
        <v>54371201.822350577</v>
      </c>
      <c r="D57" s="7">
        <f t="shared" si="5"/>
        <v>55022687.530547164</v>
      </c>
      <c r="E57" s="9">
        <f t="shared" si="1"/>
        <v>0.37508677538213608</v>
      </c>
      <c r="F57" s="9">
        <f t="shared" si="2"/>
        <v>0.39156331722166815</v>
      </c>
    </row>
    <row r="58" spans="1:8">
      <c r="A58" s="5" t="s">
        <v>50</v>
      </c>
      <c r="B58" s="7"/>
      <c r="C58" s="7">
        <f>B50*524*7</f>
        <v>12959329.370399999</v>
      </c>
      <c r="D58" s="5">
        <f>B50*7*524</f>
        <v>12959329.370399999</v>
      </c>
      <c r="E58" s="5"/>
      <c r="F58" s="5"/>
    </row>
    <row r="59" spans="1:8">
      <c r="A59" s="5" t="s">
        <v>51</v>
      </c>
      <c r="B59" s="8"/>
      <c r="C59" s="8">
        <f>C57/C58</f>
        <v>4.1955258847373811</v>
      </c>
      <c r="D59" s="8">
        <f>D57/D58</f>
        <v>4.2457974450609131</v>
      </c>
      <c r="E59" s="5"/>
      <c r="F59" s="5"/>
    </row>
    <row r="61" spans="1:8">
      <c r="C61">
        <f>D59/4.06-1</f>
        <v>4.5762917502688127E-2</v>
      </c>
      <c r="D61">
        <f>D58/7</f>
        <v>1851332.7671999999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2024-11-03T16:27:18Z</dcterms:created>
  <dcterms:modified xsi:type="dcterms:W3CDTF">2024-11-06T15:29:17Z</dcterms:modified>
</cp:coreProperties>
</file>