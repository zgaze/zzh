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aohui/Desktop/zjhxx/远程实习-萱轩/"/>
    </mc:Choice>
  </mc:AlternateContent>
  <xr:revisionPtr revIDLastSave="0" documentId="13_ncr:1_{E5639524-0233-964E-BB04-27F3362C6B1C}" xr6:coauthVersionLast="47" xr6:coauthVersionMax="47" xr10:uidLastSave="{00000000-0000-0000-0000-000000000000}"/>
  <bookViews>
    <workbookView xWindow="0" yWindow="740" windowWidth="30240" windowHeight="18900" xr2:uid="{EE39D6E0-2371-AE4F-90D6-80CEECA24A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I19" i="1"/>
  <c r="J19" i="1"/>
  <c r="I20" i="1"/>
  <c r="J20" i="1"/>
  <c r="I21" i="1"/>
  <c r="J21" i="1"/>
  <c r="I22" i="1"/>
  <c r="J22" i="1"/>
  <c r="I23" i="1"/>
  <c r="J23" i="1"/>
  <c r="K33" i="1"/>
  <c r="K31" i="1"/>
  <c r="J31" i="1"/>
  <c r="I31" i="1"/>
  <c r="H21" i="1"/>
  <c r="G21" i="1"/>
  <c r="F21" i="1"/>
  <c r="B21" i="1"/>
  <c r="G26" i="1"/>
  <c r="B22" i="1"/>
  <c r="B23" i="1" s="1"/>
  <c r="H22" i="1"/>
  <c r="H23" i="1" s="1"/>
  <c r="E22" i="1"/>
  <c r="E23" i="1" s="1"/>
  <c r="C21" i="1"/>
  <c r="C22" i="1" s="1"/>
  <c r="C23" i="1" s="1"/>
  <c r="D21" i="1"/>
  <c r="D22" i="1" s="1"/>
  <c r="D23" i="1" s="1"/>
  <c r="E21" i="1"/>
  <c r="C17" i="1"/>
  <c r="C16" i="1" s="1"/>
  <c r="D17" i="1"/>
  <c r="D16" i="1" s="1"/>
  <c r="E17" i="1"/>
  <c r="E16" i="1" s="1"/>
  <c r="F17" i="1"/>
  <c r="F16" i="1" s="1"/>
  <c r="G17" i="1"/>
  <c r="G16" i="1" s="1"/>
  <c r="H17" i="1"/>
  <c r="H16" i="1" s="1"/>
  <c r="I18" i="1"/>
  <c r="J18" i="1"/>
  <c r="K18" i="1"/>
  <c r="K19" i="1"/>
  <c r="K20" i="1"/>
  <c r="B17" i="1"/>
  <c r="B16" i="1" s="1"/>
  <c r="K15" i="1"/>
  <c r="J15" i="1"/>
  <c r="I15" i="1"/>
  <c r="G9" i="1"/>
  <c r="H9" i="1"/>
  <c r="I9" i="1"/>
  <c r="F9" i="1"/>
  <c r="K34" i="1" l="1"/>
  <c r="I39" i="1"/>
  <c r="I38" i="1"/>
  <c r="K38" i="1"/>
  <c r="J38" i="1"/>
  <c r="K37" i="1"/>
  <c r="K39" i="1"/>
  <c r="J39" i="1"/>
  <c r="I37" i="1"/>
  <c r="J37" i="1"/>
  <c r="J33" i="1"/>
  <c r="K36" i="1"/>
  <c r="I35" i="1"/>
  <c r="I36" i="1"/>
  <c r="K35" i="1"/>
  <c r="I33" i="1"/>
  <c r="J34" i="1"/>
  <c r="I34" i="1"/>
  <c r="I32" i="1"/>
  <c r="J32" i="1"/>
  <c r="K21" i="1"/>
  <c r="G22" i="1"/>
  <c r="G23" i="1" s="1"/>
  <c r="F22" i="1"/>
  <c r="I17" i="1"/>
  <c r="K17" i="1"/>
  <c r="I16" i="1"/>
  <c r="J17" i="1"/>
  <c r="K16" i="1"/>
  <c r="J16" i="1"/>
  <c r="J36" i="1" l="1"/>
  <c r="K32" i="1"/>
  <c r="F23" i="1"/>
  <c r="B26" i="1"/>
  <c r="K22" i="1"/>
  <c r="K23" i="1"/>
</calcChain>
</file>

<file path=xl/sharedStrings.xml><?xml version="1.0" encoding="utf-8"?>
<sst xmlns="http://schemas.openxmlformats.org/spreadsheetml/2006/main" count="51" uniqueCount="37">
  <si>
    <t>平台产单区间</t>
  </si>
  <si>
    <t>酒店占比</t>
  </si>
  <si>
    <t>平台有效单</t>
  </si>
  <si>
    <t>HC有效单</t>
  </si>
  <si>
    <t>云梯有效单</t>
  </si>
  <si>
    <t>云梯单占比</t>
  </si>
  <si>
    <t>HC/平台</t>
  </si>
  <si>
    <t>云梯/平台</t>
  </si>
  <si>
    <t>云梯/HC</t>
  </si>
  <si>
    <t>平均云梯位置</t>
  </si>
  <si>
    <t>CTR</t>
  </si>
  <si>
    <t>CVR</t>
  </si>
  <si>
    <t>无产单</t>
  </si>
  <si>
    <t>1-7单</t>
  </si>
  <si>
    <t>8-14单</t>
  </si>
  <si>
    <t>15-21单</t>
  </si>
  <si>
    <t>22-28单</t>
  </si>
  <si>
    <t>29-56单</t>
  </si>
  <si>
    <t>57单以上</t>
  </si>
  <si>
    <t>A组</t>
    <phoneticPr fontId="2" type="noConversion"/>
  </si>
  <si>
    <t>B组</t>
    <phoneticPr fontId="2" type="noConversion"/>
  </si>
  <si>
    <t>C组</t>
    <phoneticPr fontId="2" type="noConversion"/>
  </si>
  <si>
    <t>对照组</t>
    <phoneticPr fontId="2" type="noConversion"/>
  </si>
  <si>
    <t>曝光uv</t>
    <phoneticPr fontId="2" type="noConversion"/>
  </si>
  <si>
    <t>ctr</t>
    <phoneticPr fontId="2" type="noConversion"/>
  </si>
  <si>
    <t>点击uv</t>
    <phoneticPr fontId="2" type="noConversion"/>
  </si>
  <si>
    <t>cvr</t>
    <phoneticPr fontId="2" type="noConversion"/>
  </si>
  <si>
    <t>订单量</t>
    <phoneticPr fontId="2" type="noConversion"/>
  </si>
  <si>
    <t>间夜量</t>
    <phoneticPr fontId="2" type="noConversion"/>
  </si>
  <si>
    <t>云梯佣金</t>
    <phoneticPr fontId="2" type="noConversion"/>
  </si>
  <si>
    <t>平台佣金</t>
    <phoneticPr fontId="2" type="noConversion"/>
  </si>
  <si>
    <t>对比A</t>
    <phoneticPr fontId="2" type="noConversion"/>
  </si>
  <si>
    <t>对比B</t>
    <phoneticPr fontId="2" type="noConversion"/>
  </si>
  <si>
    <t>对比C</t>
    <phoneticPr fontId="2" type="noConversion"/>
  </si>
  <si>
    <t>20位次</t>
    <phoneticPr fontId="2" type="noConversion"/>
  </si>
  <si>
    <t>D组</t>
    <phoneticPr fontId="2" type="noConversion"/>
  </si>
  <si>
    <t>对比D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</si>
</sst>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_);[Red]\(0.00\)"/>
    <numFmt numFmtId="184" formatCode="0.00000%"/>
  </numFmts>
  <fonts count="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9" fontId="4" fillId="2" borderId="1" xfId="0" applyNumberFormat="1" applyFont="1" applyFill="1" applyBorder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1" xfId="0" applyNumberFormat="1" applyFont="1" applyBorder="1">
      <alignment vertical="center"/>
    </xf>
    <xf numFmtId="58" fontId="4" fillId="2" borderId="1" xfId="0" applyNumberFormat="1" applyFont="1" applyFill="1" applyBorder="1">
      <alignment vertical="center"/>
    </xf>
    <xf numFmtId="0" fontId="4" fillId="2" borderId="0" xfId="0" applyFont="1" applyFill="1">
      <alignment vertical="center"/>
    </xf>
    <xf numFmtId="10" fontId="4" fillId="2" borderId="1" xfId="0" applyNumberFormat="1" applyFont="1" applyFill="1" applyBorder="1">
      <alignment vertical="center"/>
    </xf>
    <xf numFmtId="10" fontId="0" fillId="0" borderId="0" xfId="0" applyNumberFormat="1">
      <alignment vertical="center"/>
    </xf>
    <xf numFmtId="184" fontId="0" fillId="0" borderId="0" xfId="0" applyNumberFormat="1">
      <alignment vertical="center"/>
    </xf>
    <xf numFmtId="0" fontId="3" fillId="3" borderId="1" xfId="0" applyFont="1" applyFill="1" applyBorder="1">
      <alignment vertical="center"/>
    </xf>
    <xf numFmtId="10" fontId="0" fillId="0" borderId="0" xfId="1" applyNumberFormat="1" applyFont="1">
      <alignment vertical="center"/>
    </xf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2" xfId="0" applyBorder="1">
      <alignment vertical="center"/>
    </xf>
    <xf numFmtId="10" fontId="0" fillId="0" borderId="2" xfId="1" applyNumberFormat="1" applyFont="1" applyBorder="1">
      <alignment vertical="center"/>
    </xf>
    <xf numFmtId="1" fontId="0" fillId="0" borderId="2" xfId="0" applyNumberForma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138D-8783-5141-B5BD-9AC777EA39DE}">
  <dimension ref="A1:L39"/>
  <sheetViews>
    <sheetView tabSelected="1" topLeftCell="A4" workbookViewId="0">
      <selection activeCell="G24" sqref="G24"/>
    </sheetView>
  </sheetViews>
  <sheetFormatPr baseColWidth="10" defaultRowHeight="16"/>
  <cols>
    <col min="1" max="1" width="13" bestFit="1" customWidth="1"/>
    <col min="2" max="2" width="11.5" bestFit="1" customWidth="1"/>
    <col min="3" max="5" width="0" hidden="1" customWidth="1"/>
    <col min="10" max="10" width="13" bestFit="1" customWidth="1"/>
  </cols>
  <sheetData>
    <row r="1" spans="1:1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>
      <c r="A2" s="2" t="s">
        <v>12</v>
      </c>
      <c r="B2" s="8">
        <v>0.19726970618034401</v>
      </c>
      <c r="C2" s="2"/>
      <c r="D2" s="2"/>
      <c r="E2" s="2"/>
      <c r="F2" s="2"/>
      <c r="G2" s="2"/>
      <c r="H2" s="2"/>
      <c r="I2" s="2"/>
      <c r="J2" s="4">
        <v>14.733725885454099</v>
      </c>
      <c r="K2" s="5">
        <v>3.8690235825044501E-2</v>
      </c>
      <c r="L2" s="5"/>
    </row>
    <row r="3" spans="1:12">
      <c r="A3" s="6" t="s">
        <v>13</v>
      </c>
      <c r="B3" s="8">
        <v>0.14371833839918899</v>
      </c>
      <c r="C3" s="2">
        <v>8788</v>
      </c>
      <c r="D3" s="2">
        <v>8268</v>
      </c>
      <c r="E3" s="2">
        <v>7853</v>
      </c>
      <c r="F3" s="3">
        <v>0.101159345613809</v>
      </c>
      <c r="G3" s="3">
        <v>0.76</v>
      </c>
      <c r="H3" s="3">
        <v>0.73</v>
      </c>
      <c r="I3" s="3">
        <v>0.64</v>
      </c>
      <c r="J3" s="4">
        <v>12.8879358145397</v>
      </c>
      <c r="K3" s="5">
        <v>6.0531738622312502E-2</v>
      </c>
      <c r="L3" s="5">
        <v>5.6717752802333703E-2</v>
      </c>
    </row>
    <row r="4" spans="1:12">
      <c r="A4" s="2" t="s">
        <v>14</v>
      </c>
      <c r="B4" s="8">
        <v>0.27273556231002999</v>
      </c>
      <c r="C4" s="2">
        <v>10902</v>
      </c>
      <c r="D4" s="2">
        <v>10184</v>
      </c>
      <c r="E4" s="2">
        <v>9527</v>
      </c>
      <c r="F4" s="3">
        <v>0.12272317403065799</v>
      </c>
      <c r="G4" s="3">
        <v>0.83</v>
      </c>
      <c r="H4" s="3">
        <v>0.84</v>
      </c>
      <c r="I4" s="3">
        <v>0.75</v>
      </c>
      <c r="J4" s="4">
        <v>11.565271021787201</v>
      </c>
      <c r="K4" s="5">
        <v>4.0312493846608302E-2</v>
      </c>
      <c r="L4" s="5">
        <v>6.4904214559386997E-2</v>
      </c>
    </row>
    <row r="5" spans="1:12">
      <c r="A5" s="2" t="s">
        <v>15</v>
      </c>
      <c r="B5" s="8">
        <v>0.122917933130699</v>
      </c>
      <c r="C5" s="2">
        <v>11081</v>
      </c>
      <c r="D5" s="2">
        <v>10275</v>
      </c>
      <c r="E5" s="2">
        <v>9477</v>
      </c>
      <c r="F5" s="3">
        <v>0.122079093134098</v>
      </c>
      <c r="G5" s="3">
        <v>0.92</v>
      </c>
      <c r="H5" s="3">
        <v>0.85524772132478999</v>
      </c>
      <c r="I5" s="3">
        <v>0.73</v>
      </c>
      <c r="J5" s="4">
        <v>10.864962726898099</v>
      </c>
      <c r="K5" s="5">
        <v>5.2130855248545098E-2</v>
      </c>
      <c r="L5" s="5">
        <v>4.9019700365695397E-2</v>
      </c>
    </row>
    <row r="6" spans="1:12">
      <c r="A6" s="2" t="s">
        <v>16</v>
      </c>
      <c r="B6" s="8">
        <v>0.10961499493414301</v>
      </c>
      <c r="C6" s="2">
        <v>9677</v>
      </c>
      <c r="D6" s="2">
        <v>9028</v>
      </c>
      <c r="E6" s="2">
        <v>8306</v>
      </c>
      <c r="F6" s="3">
        <v>0.10699471853664801</v>
      </c>
      <c r="G6" s="3">
        <v>0.81</v>
      </c>
      <c r="H6" s="3">
        <v>0.72</v>
      </c>
      <c r="I6" s="3">
        <v>0.78</v>
      </c>
      <c r="J6" s="4">
        <v>10.456692498072499</v>
      </c>
      <c r="K6" s="5">
        <v>4.6968311766719402E-2</v>
      </c>
      <c r="L6" s="5">
        <v>5.1927060169006903E-2</v>
      </c>
    </row>
    <row r="7" spans="1:12">
      <c r="A7" s="2" t="s">
        <v>17</v>
      </c>
      <c r="B7" s="8">
        <v>8.8890374873353606E-2</v>
      </c>
      <c r="C7" s="2">
        <v>26801</v>
      </c>
      <c r="D7" s="2">
        <v>24841</v>
      </c>
      <c r="E7" s="2">
        <v>21942</v>
      </c>
      <c r="F7" s="3">
        <v>0.282648460646657</v>
      </c>
      <c r="G7" s="3">
        <v>0.77</v>
      </c>
      <c r="H7" s="3">
        <v>0.7</v>
      </c>
      <c r="I7" s="3">
        <v>0.76</v>
      </c>
      <c r="J7" s="4">
        <v>10.24</v>
      </c>
      <c r="K7" s="5">
        <v>4.6205492910722297E-2</v>
      </c>
      <c r="L7" s="5">
        <v>6.4204407334989194E-2</v>
      </c>
    </row>
    <row r="8" spans="1:12">
      <c r="A8" s="2" t="s">
        <v>18</v>
      </c>
      <c r="B8" s="8">
        <v>6.48530901722391E-2</v>
      </c>
      <c r="C8" s="2">
        <v>29669</v>
      </c>
      <c r="D8" s="2">
        <v>26779</v>
      </c>
      <c r="E8" s="2">
        <v>20525</v>
      </c>
      <c r="F8" s="3">
        <v>0.26439520803812999</v>
      </c>
      <c r="G8" s="3">
        <v>0.79</v>
      </c>
      <c r="H8" s="3">
        <v>0.69179952138595802</v>
      </c>
      <c r="I8" s="3">
        <v>0.79</v>
      </c>
      <c r="J8" s="4">
        <v>9.75</v>
      </c>
      <c r="K8" s="5">
        <v>3.71488446748705E-2</v>
      </c>
      <c r="L8" s="5">
        <v>6.7993773107608499E-2</v>
      </c>
    </row>
    <row r="9" spans="1:12">
      <c r="A9" s="7"/>
      <c r="B9" s="7"/>
      <c r="C9" s="7">
        <v>67249</v>
      </c>
      <c r="D9" s="7">
        <v>62596</v>
      </c>
      <c r="E9" s="7">
        <v>57105</v>
      </c>
      <c r="F9" s="3">
        <f>AVERAGE(F3:F8)</f>
        <v>0.16666666666666666</v>
      </c>
      <c r="G9" s="3">
        <f>AVERAGE(G3:G8)</f>
        <v>0.81333333333333335</v>
      </c>
      <c r="H9" s="3">
        <f>AVERAGE(H3:H8)</f>
        <v>0.75617454045179133</v>
      </c>
      <c r="I9" s="3">
        <f>AVERAGE(I3:I8)</f>
        <v>0.7416666666666667</v>
      </c>
      <c r="J9" s="1"/>
      <c r="K9" s="1"/>
      <c r="L9" s="1"/>
    </row>
    <row r="12" spans="1:12">
      <c r="B12" s="10"/>
    </row>
    <row r="14" spans="1:12">
      <c r="B14" t="s">
        <v>19</v>
      </c>
      <c r="F14" t="s">
        <v>20</v>
      </c>
      <c r="G14" t="s">
        <v>21</v>
      </c>
      <c r="H14" t="s">
        <v>22</v>
      </c>
      <c r="I14" t="s">
        <v>31</v>
      </c>
      <c r="J14" t="s">
        <v>32</v>
      </c>
      <c r="K14" t="s">
        <v>33</v>
      </c>
    </row>
    <row r="15" spans="1:12">
      <c r="A15" t="s">
        <v>34</v>
      </c>
      <c r="B15">
        <v>10.25</v>
      </c>
      <c r="F15">
        <v>9.01</v>
      </c>
      <c r="G15">
        <v>8.76</v>
      </c>
      <c r="H15">
        <v>12.42</v>
      </c>
      <c r="I15" s="12">
        <f>B15/H15-1</f>
        <v>-0.17471819645732689</v>
      </c>
      <c r="J15" s="12">
        <f>F15/H15-1</f>
        <v>-0.27455716586151369</v>
      </c>
      <c r="K15" s="12">
        <f>G15/H15-1</f>
        <v>-0.29468599033816423</v>
      </c>
    </row>
    <row r="16" spans="1:12">
      <c r="A16" t="s">
        <v>23</v>
      </c>
      <c r="B16" s="14">
        <f>B17/B18</f>
        <v>101809.85422910772</v>
      </c>
      <c r="C16" s="14" t="e">
        <f t="shared" ref="C16:H16" si="0">C17/C18</f>
        <v>#DIV/0!</v>
      </c>
      <c r="D16" s="14" t="e">
        <f t="shared" si="0"/>
        <v>#DIV/0!</v>
      </c>
      <c r="E16" s="14" t="e">
        <f t="shared" si="0"/>
        <v>#DIV/0!</v>
      </c>
      <c r="F16" s="14">
        <f t="shared" si="0"/>
        <v>107819.92581790357</v>
      </c>
      <c r="G16" s="14">
        <f t="shared" si="0"/>
        <v>110392.4873704559</v>
      </c>
      <c r="H16" s="14">
        <f t="shared" si="0"/>
        <v>96508.113926146703</v>
      </c>
      <c r="I16" s="12">
        <f t="shared" ref="I16:I23" si="1">B16/H16-1</f>
        <v>5.4935694909737709E-2</v>
      </c>
      <c r="J16" s="12">
        <f t="shared" ref="J16:J23" si="2">F16/H16-1</f>
        <v>0.1172109932685379</v>
      </c>
      <c r="K16" s="12">
        <f t="shared" ref="K16:K23" si="3">G16/H16-1</f>
        <v>0.14386742087752613</v>
      </c>
    </row>
    <row r="17" spans="1:11">
      <c r="A17" t="s">
        <v>25</v>
      </c>
      <c r="B17" s="14">
        <f>B19/B20</f>
        <v>8175.3312945973494</v>
      </c>
      <c r="C17" s="14" t="e">
        <f t="shared" ref="C17:H17" si="4">C19/C20</f>
        <v>#DIV/0!</v>
      </c>
      <c r="D17" s="14" t="e">
        <f t="shared" si="4"/>
        <v>#DIV/0!</v>
      </c>
      <c r="E17" s="14" t="e">
        <f t="shared" si="4"/>
        <v>#DIV/0!</v>
      </c>
      <c r="F17" s="14">
        <f t="shared" si="4"/>
        <v>8776.5419615773499</v>
      </c>
      <c r="G17" s="14">
        <f t="shared" si="4"/>
        <v>9074.2624618514747</v>
      </c>
      <c r="H17" s="14">
        <f t="shared" si="4"/>
        <v>7643.442622950819</v>
      </c>
      <c r="I17" s="12">
        <f t="shared" si="1"/>
        <v>6.9587579561261936E-2</v>
      </c>
      <c r="J17" s="12">
        <f t="shared" si="2"/>
        <v>0.14824463197044158</v>
      </c>
      <c r="K17" s="12">
        <f t="shared" si="3"/>
        <v>0.18719573227440223</v>
      </c>
    </row>
    <row r="18" spans="1:11">
      <c r="A18" t="s">
        <v>24</v>
      </c>
      <c r="B18" s="9">
        <v>8.0299999999999996E-2</v>
      </c>
      <c r="F18" s="9">
        <v>8.14E-2</v>
      </c>
      <c r="G18" s="9">
        <v>8.2199999999999995E-2</v>
      </c>
      <c r="H18" s="9">
        <v>7.9200000000000007E-2</v>
      </c>
      <c r="I18" s="12">
        <f t="shared" si="1"/>
        <v>1.388888888888884E-2</v>
      </c>
      <c r="J18" s="12">
        <f t="shared" si="2"/>
        <v>2.7777777777777679E-2</v>
      </c>
      <c r="K18" s="12">
        <f t="shared" si="3"/>
        <v>3.7878787878787623E-2</v>
      </c>
    </row>
    <row r="19" spans="1:11">
      <c r="A19" t="s">
        <v>27</v>
      </c>
      <c r="B19">
        <v>802</v>
      </c>
      <c r="F19">
        <v>868</v>
      </c>
      <c r="G19">
        <v>892</v>
      </c>
      <c r="H19">
        <v>746</v>
      </c>
      <c r="I19" s="12">
        <f t="shared" si="1"/>
        <v>7.5067024128686377E-2</v>
      </c>
      <c r="J19" s="12">
        <f t="shared" si="2"/>
        <v>0.16353887399463818</v>
      </c>
      <c r="K19" s="12">
        <f t="shared" si="3"/>
        <v>0.19571045576407498</v>
      </c>
    </row>
    <row r="20" spans="1:11">
      <c r="A20" t="s">
        <v>26</v>
      </c>
      <c r="B20" s="9">
        <v>9.8100000000000007E-2</v>
      </c>
      <c r="F20" s="9">
        <v>9.8900000000000002E-2</v>
      </c>
      <c r="G20" s="9">
        <v>9.8299999999999998E-2</v>
      </c>
      <c r="H20" s="9">
        <v>9.7600000000000006E-2</v>
      </c>
      <c r="I20" s="12">
        <f t="shared" si="1"/>
        <v>5.1229508196721785E-3</v>
      </c>
      <c r="J20" s="12">
        <f t="shared" si="2"/>
        <v>1.3319672131147486E-2</v>
      </c>
      <c r="K20" s="12">
        <f t="shared" si="3"/>
        <v>7.1721311475410054E-3</v>
      </c>
    </row>
    <row r="21" spans="1:11">
      <c r="A21" t="s">
        <v>28</v>
      </c>
      <c r="B21" s="14">
        <f>B19*1.39</f>
        <v>1114.78</v>
      </c>
      <c r="C21" s="14">
        <f t="shared" ref="C21:H21" si="5">C19*4.39</f>
        <v>0</v>
      </c>
      <c r="D21" s="14">
        <f t="shared" si="5"/>
        <v>0</v>
      </c>
      <c r="E21" s="14">
        <f t="shared" si="5"/>
        <v>0</v>
      </c>
      <c r="F21" s="14">
        <f>F19*1.38</f>
        <v>1197.8399999999999</v>
      </c>
      <c r="G21" s="14">
        <f>G19*1.31</f>
        <v>1168.52</v>
      </c>
      <c r="H21" s="14">
        <f>H19*1.332</f>
        <v>993.67200000000003</v>
      </c>
      <c r="I21" s="12">
        <f t="shared" si="1"/>
        <v>0.12187925190606141</v>
      </c>
      <c r="J21" s="12">
        <f t="shared" si="2"/>
        <v>0.20546820278723743</v>
      </c>
      <c r="K21" s="12">
        <f t="shared" si="3"/>
        <v>0.17596148427247615</v>
      </c>
    </row>
    <row r="22" spans="1:11">
      <c r="A22" t="s">
        <v>29</v>
      </c>
      <c r="B22" s="13">
        <f>32.36*B21</f>
        <v>36074.2808</v>
      </c>
      <c r="C22" s="13">
        <f t="shared" ref="C22:H22" si="6">32.36*C21</f>
        <v>0</v>
      </c>
      <c r="D22" s="13">
        <f t="shared" si="6"/>
        <v>0</v>
      </c>
      <c r="E22" s="13">
        <f t="shared" si="6"/>
        <v>0</v>
      </c>
      <c r="F22" s="13">
        <f t="shared" si="6"/>
        <v>38762.102399999996</v>
      </c>
      <c r="G22" s="13">
        <f t="shared" si="6"/>
        <v>37813.307199999996</v>
      </c>
      <c r="H22" s="13">
        <f t="shared" si="6"/>
        <v>32155.225920000001</v>
      </c>
      <c r="I22" s="12">
        <f t="shared" si="1"/>
        <v>0.12187925190606164</v>
      </c>
      <c r="J22" s="12">
        <f t="shared" si="2"/>
        <v>0.20546820278723743</v>
      </c>
      <c r="K22" s="12">
        <f t="shared" si="3"/>
        <v>0.17596148427247615</v>
      </c>
    </row>
    <row r="23" spans="1:11">
      <c r="A23" t="s">
        <v>30</v>
      </c>
      <c r="B23" s="13">
        <f>B22*1.033</f>
        <v>37264.7320664</v>
      </c>
      <c r="C23" s="13">
        <f t="shared" ref="C23:E23" si="7">C22*1.023</f>
        <v>0</v>
      </c>
      <c r="D23" s="13">
        <f t="shared" si="7"/>
        <v>0</v>
      </c>
      <c r="E23" s="13">
        <f t="shared" si="7"/>
        <v>0</v>
      </c>
      <c r="F23" s="13">
        <f>F22*1.0173</f>
        <v>39432.686771519999</v>
      </c>
      <c r="G23" s="13">
        <f>G22*1.0203</f>
        <v>38580.917336159997</v>
      </c>
      <c r="H23" s="13">
        <f>H22*1.019372</f>
        <v>32778.136956522241</v>
      </c>
      <c r="I23" s="12">
        <f t="shared" si="1"/>
        <v>0.13687767293879127</v>
      </c>
      <c r="J23" s="12">
        <f t="shared" si="2"/>
        <v>0.20301793917770627</v>
      </c>
      <c r="K23" s="12">
        <f t="shared" si="3"/>
        <v>0.17703203776757381</v>
      </c>
    </row>
    <row r="26" spans="1:11">
      <c r="B26">
        <f>SUM(B22:H22)</f>
        <v>144804.91631999999</v>
      </c>
      <c r="F26">
        <v>30000</v>
      </c>
      <c r="G26">
        <f>SUM(B19:H19)</f>
        <v>3308</v>
      </c>
    </row>
    <row r="30" spans="1:11">
      <c r="A30" s="15"/>
      <c r="B30" s="15" t="s">
        <v>22</v>
      </c>
      <c r="C30" s="15"/>
      <c r="D30" s="15"/>
      <c r="E30" s="15"/>
      <c r="F30" s="15" t="s">
        <v>20</v>
      </c>
      <c r="G30" s="15" t="s">
        <v>21</v>
      </c>
      <c r="H30" s="15" t="s">
        <v>35</v>
      </c>
      <c r="I30" s="15" t="s">
        <v>32</v>
      </c>
      <c r="J30" s="15" t="s">
        <v>33</v>
      </c>
      <c r="K30" s="15" t="s">
        <v>36</v>
      </c>
    </row>
    <row r="31" spans="1:11">
      <c r="A31" s="15" t="s">
        <v>34</v>
      </c>
      <c r="B31" s="15">
        <v>12.93</v>
      </c>
      <c r="C31" s="15"/>
      <c r="D31" s="15"/>
      <c r="E31" s="15"/>
      <c r="F31" s="15">
        <v>7.82</v>
      </c>
      <c r="G31" s="15">
        <v>7.43</v>
      </c>
      <c r="H31" s="15">
        <v>7.12</v>
      </c>
      <c r="I31" s="16">
        <f>F31/B31-1</f>
        <v>-0.39520494972931164</v>
      </c>
      <c r="J31" s="16">
        <f>G31/B31-1</f>
        <v>-0.42536736272235109</v>
      </c>
      <c r="K31" s="16">
        <f>H31/B31-1</f>
        <v>-0.44934261407579268</v>
      </c>
    </row>
    <row r="32" spans="1:11">
      <c r="A32" s="15" t="s">
        <v>23</v>
      </c>
      <c r="B32" s="17">
        <v>9396222.9880774952</v>
      </c>
      <c r="C32" s="17" t="e">
        <v>#DIV/0!</v>
      </c>
      <c r="D32" s="17" t="e">
        <v>#DIV/0!</v>
      </c>
      <c r="E32" s="17" t="e">
        <v>#DIV/0!</v>
      </c>
      <c r="F32" s="17">
        <v>11653913.002799412</v>
      </c>
      <c r="G32" s="17">
        <v>11716022.929914959</v>
      </c>
      <c r="H32" s="17">
        <v>11785394.069796324</v>
      </c>
      <c r="I32" s="16">
        <f t="shared" ref="I32:I39" si="8">F32/B32-1</f>
        <v>0.24027633418093775</v>
      </c>
      <c r="J32" s="16">
        <f t="shared" ref="J32:J39" si="9">G32/B32-1</f>
        <v>0.24688642923661641</v>
      </c>
      <c r="K32" s="16">
        <f t="shared" ref="K32:K39" si="10">H32/B32-1</f>
        <v>0.2542693042460098</v>
      </c>
    </row>
    <row r="33" spans="1:11">
      <c r="A33" s="15" t="s">
        <v>25</v>
      </c>
      <c r="B33" s="17">
        <v>781236.27049180318</v>
      </c>
      <c r="C33" s="15"/>
      <c r="D33" s="15"/>
      <c r="E33" s="15"/>
      <c r="F33" s="17">
        <v>1035042.1363173957</v>
      </c>
      <c r="G33" s="17">
        <v>1037944.5702730028</v>
      </c>
      <c r="H33" s="17">
        <v>1040523.4658511722</v>
      </c>
      <c r="I33" s="16">
        <f t="shared" si="8"/>
        <v>0.32487721757441812</v>
      </c>
      <c r="J33" s="16">
        <f t="shared" si="9"/>
        <v>0.32859239832732912</v>
      </c>
      <c r="K33" s="16">
        <f t="shared" si="10"/>
        <v>0.33189344267918175</v>
      </c>
    </row>
    <row r="34" spans="1:11">
      <c r="A34" s="15" t="s">
        <v>24</v>
      </c>
      <c r="B34" s="16">
        <v>8.3143649473100392E-2</v>
      </c>
      <c r="C34" s="16" t="e">
        <v>#DIV/0!</v>
      </c>
      <c r="D34" s="16" t="e">
        <v>#DIV/0!</v>
      </c>
      <c r="E34" s="16" t="e">
        <v>#DIV/0!</v>
      </c>
      <c r="F34" s="16">
        <v>8.8814987383959876E-2</v>
      </c>
      <c r="G34" s="16">
        <v>8.859188621275059E-2</v>
      </c>
      <c r="H34" s="16">
        <v>8.8289238330844774E-2</v>
      </c>
      <c r="I34" s="16">
        <f t="shared" ref="I34:I39" si="11">F34/B34-1</f>
        <v>6.8211317963548623E-2</v>
      </c>
      <c r="J34" s="16">
        <f t="shared" ref="J34:J39" si="12">G34/B34-1</f>
        <v>6.5527996114879139E-2</v>
      </c>
      <c r="K34" s="16">
        <f t="shared" ref="K34:K39" si="13">H34/B34-1</f>
        <v>6.1887936004169974E-2</v>
      </c>
    </row>
    <row r="35" spans="1:11">
      <c r="A35" s="15" t="s">
        <v>27</v>
      </c>
      <c r="B35" s="17">
        <v>74541.066000000006</v>
      </c>
      <c r="C35" s="15"/>
      <c r="D35" s="15"/>
      <c r="E35" s="15"/>
      <c r="F35" s="17">
        <v>101031.042</v>
      </c>
      <c r="G35" s="17">
        <v>101784.71799999999</v>
      </c>
      <c r="H35" s="17">
        <v>101273.352</v>
      </c>
      <c r="I35" s="16">
        <f t="shared" si="11"/>
        <v>0.35537425772794817</v>
      </c>
      <c r="J35" s="16">
        <f t="shared" si="12"/>
        <v>0.36548514076790894</v>
      </c>
      <c r="K35" s="16">
        <f t="shared" si="13"/>
        <v>0.3586249490985276</v>
      </c>
    </row>
    <row r="36" spans="1:11">
      <c r="A36" s="15" t="s">
        <v>26</v>
      </c>
      <c r="B36" s="16">
        <v>9.5414241267977706E-2</v>
      </c>
      <c r="C36" s="16" t="e">
        <v>#DIV/0!</v>
      </c>
      <c r="D36" s="16" t="e">
        <v>#DIV/0!</v>
      </c>
      <c r="E36" s="16" t="e">
        <v>#DIV/0!</v>
      </c>
      <c r="F36" s="16">
        <v>9.7610559469067673E-2</v>
      </c>
      <c r="G36" s="16">
        <v>9.806373183611175E-2</v>
      </c>
      <c r="H36" s="16">
        <v>9.7329234105408724E-2</v>
      </c>
      <c r="I36" s="16">
        <f t="shared" si="11"/>
        <v>2.301876713478701E-2</v>
      </c>
      <c r="J36" s="16">
        <f t="shared" si="12"/>
        <v>2.7768292583208343E-2</v>
      </c>
      <c r="K36" s="16">
        <f t="shared" si="13"/>
        <v>2.0070304096980962E-2</v>
      </c>
    </row>
    <row r="37" spans="1:11">
      <c r="A37" s="15" t="s">
        <v>28</v>
      </c>
      <c r="B37" s="17">
        <v>76106.428386</v>
      </c>
      <c r="C37" s="17">
        <v>0</v>
      </c>
      <c r="D37" s="17">
        <v>0</v>
      </c>
      <c r="E37" s="17">
        <v>0</v>
      </c>
      <c r="F37" s="17">
        <v>103072.87935882001</v>
      </c>
      <c r="G37" s="17">
        <v>103746.72022416801</v>
      </c>
      <c r="H37" s="17">
        <v>103320.08644392001</v>
      </c>
      <c r="I37" s="16">
        <f t="shared" si="11"/>
        <v>0.35432553523666033</v>
      </c>
      <c r="J37" s="16">
        <f t="shared" si="12"/>
        <v>0.36317946360563313</v>
      </c>
      <c r="K37" s="16">
        <f t="shared" si="13"/>
        <v>0.35757371138081218</v>
      </c>
    </row>
    <row r="38" spans="1:11">
      <c r="A38" s="15" t="s">
        <v>29</v>
      </c>
      <c r="B38" s="17">
        <v>2350394.8278448381</v>
      </c>
      <c r="C38" s="17">
        <v>0</v>
      </c>
      <c r="D38" s="17">
        <v>0</v>
      </c>
      <c r="E38" s="17">
        <v>0</v>
      </c>
      <c r="F38" s="17">
        <v>3183199.7332384381</v>
      </c>
      <c r="G38" s="17">
        <v>3204009.9606829803</v>
      </c>
      <c r="H38" s="17">
        <v>3190834.2296475815</v>
      </c>
      <c r="I38" s="16">
        <f t="shared" si="11"/>
        <v>0.35432553523666011</v>
      </c>
      <c r="J38" s="16">
        <f t="shared" si="12"/>
        <v>0.36317946360563291</v>
      </c>
      <c r="K38" s="16">
        <f t="shared" si="13"/>
        <v>0.35757371138081195</v>
      </c>
    </row>
    <row r="39" spans="1:11">
      <c r="A39" s="15" t="s">
        <v>30</v>
      </c>
      <c r="B39" s="17">
        <v>2301577.1272705011</v>
      </c>
      <c r="C39" s="17">
        <v>0</v>
      </c>
      <c r="D39" s="17">
        <v>0</v>
      </c>
      <c r="E39" s="17">
        <v>0</v>
      </c>
      <c r="F39" s="17">
        <v>3158750.3082233723</v>
      </c>
      <c r="G39" s="17">
        <v>3213375.2817980568</v>
      </c>
      <c r="H39" s="17">
        <v>3221881.0467020525</v>
      </c>
      <c r="I39" s="16">
        <f t="shared" si="11"/>
        <v>0.37242861462105981</v>
      </c>
      <c r="J39" s="16">
        <f t="shared" si="12"/>
        <v>0.39616232874580226</v>
      </c>
      <c r="K39" s="16">
        <f t="shared" si="13"/>
        <v>0.39985795328221885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Zhu</dc:creator>
  <cp:lastModifiedBy>Zhaohui Zhu</cp:lastModifiedBy>
  <dcterms:created xsi:type="dcterms:W3CDTF">2025-03-10T13:07:59Z</dcterms:created>
  <dcterms:modified xsi:type="dcterms:W3CDTF">2025-03-12T16:26:37Z</dcterms:modified>
</cp:coreProperties>
</file>