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13_ncr:1_{1114E64A-A8B9-7942-B7EA-1E819A7DA837}" xr6:coauthVersionLast="47" xr6:coauthVersionMax="47" xr10:uidLastSave="{00000000-0000-0000-0000-000000000000}"/>
  <bookViews>
    <workbookView xWindow="0" yWindow="740" windowWidth="30240" windowHeight="18900" activeTab="1" xr2:uid="{19E74731-9BDF-F44D-911D-61D428ABE1A9}"/>
  </bookViews>
  <sheets>
    <sheet name="原始数据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" l="1"/>
  <c r="C44" i="2" s="1"/>
  <c r="C42" i="2"/>
  <c r="B40" i="2"/>
  <c r="C40" i="2"/>
  <c r="C39" i="2"/>
  <c r="C35" i="2"/>
  <c r="B35" i="2"/>
  <c r="F16" i="2"/>
  <c r="D41" i="2"/>
  <c r="D36" i="2"/>
  <c r="D38" i="2"/>
  <c r="C37" i="2"/>
  <c r="B25" i="2"/>
  <c r="B26" i="2" s="1"/>
  <c r="B24" i="2"/>
  <c r="B22" i="2"/>
  <c r="B21" i="2"/>
  <c r="B5" i="2"/>
  <c r="B20" i="2"/>
  <c r="C20" i="2"/>
  <c r="C19" i="2"/>
  <c r="B19" i="2"/>
  <c r="D18" i="2"/>
  <c r="D20" i="2"/>
  <c r="D23" i="2"/>
  <c r="C17" i="2"/>
  <c r="D17" i="2" s="1"/>
  <c r="B17" i="2"/>
  <c r="B9" i="2"/>
  <c r="B7" i="2"/>
  <c r="B4" i="2"/>
  <c r="B3" i="2"/>
  <c r="B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H93" i="1" s="1"/>
  <c r="N93" i="1" s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H201" i="1" s="1"/>
  <c r="N201" i="1" s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H270" i="1" s="1"/>
  <c r="N270" i="1" s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H366" i="1" s="1"/>
  <c r="N366" i="1" s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H414" i="1" s="1"/>
  <c r="N414" i="1" s="1"/>
  <c r="G415" i="1"/>
  <c r="G416" i="1"/>
  <c r="G417" i="1"/>
  <c r="G418" i="1"/>
  <c r="H418" i="1" s="1"/>
  <c r="N418" i="1" s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H460" i="1" s="1"/>
  <c r="N460" i="1" s="1"/>
  <c r="G461" i="1"/>
  <c r="G462" i="1"/>
  <c r="G463" i="1"/>
  <c r="G464" i="1"/>
  <c r="G465" i="1"/>
  <c r="G466" i="1"/>
  <c r="H466" i="1" s="1"/>
  <c r="N466" i="1" s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H502" i="1" s="1"/>
  <c r="N502" i="1" s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H517" i="1" s="1"/>
  <c r="N517" i="1" s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H550" i="1" s="1"/>
  <c r="N550" i="1" s="1"/>
  <c r="G551" i="1"/>
  <c r="G552" i="1"/>
  <c r="G553" i="1"/>
  <c r="G554" i="1"/>
  <c r="G555" i="1"/>
  <c r="G556" i="1"/>
  <c r="G557" i="1"/>
  <c r="G558" i="1"/>
  <c r="H558" i="1" s="1"/>
  <c r="N558" i="1" s="1"/>
  <c r="G559" i="1"/>
  <c r="G560" i="1"/>
  <c r="G561" i="1"/>
  <c r="G562" i="1"/>
  <c r="H562" i="1" s="1"/>
  <c r="N562" i="1" s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E3" i="1"/>
  <c r="E4" i="1"/>
  <c r="E5" i="1"/>
  <c r="E6" i="1"/>
  <c r="E7" i="1"/>
  <c r="E8" i="1"/>
  <c r="E9" i="1"/>
  <c r="H9" i="1" s="1"/>
  <c r="N9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2" i="1"/>
  <c r="N42" i="1"/>
  <c r="N52" i="1"/>
  <c r="N54" i="1"/>
  <c r="N136" i="1"/>
  <c r="N171" i="1"/>
  <c r="N186" i="1"/>
  <c r="N246" i="1"/>
  <c r="N285" i="1"/>
  <c r="N330" i="1"/>
  <c r="N387" i="1"/>
  <c r="N455" i="1"/>
  <c r="N484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L3" i="1"/>
  <c r="M3" i="1" s="1"/>
  <c r="L4" i="1"/>
  <c r="M4" i="1" s="1"/>
  <c r="L5" i="1"/>
  <c r="L6" i="1"/>
  <c r="L7" i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M22" i="1" s="1"/>
  <c r="L23" i="1"/>
  <c r="L24" i="1"/>
  <c r="M24" i="1" s="1"/>
  <c r="L25" i="1"/>
  <c r="L26" i="1"/>
  <c r="M26" i="1" s="1"/>
  <c r="L27" i="1"/>
  <c r="L28" i="1"/>
  <c r="M28" i="1" s="1"/>
  <c r="L29" i="1"/>
  <c r="M29" i="1" s="1"/>
  <c r="L30" i="1"/>
  <c r="M30" i="1" s="1"/>
  <c r="L31" i="1"/>
  <c r="L32" i="1"/>
  <c r="L33" i="1"/>
  <c r="M33" i="1" s="1"/>
  <c r="L34" i="1"/>
  <c r="M34" i="1" s="1"/>
  <c r="L35" i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L48" i="1"/>
  <c r="M48" i="1" s="1"/>
  <c r="L49" i="1"/>
  <c r="M49" i="1" s="1"/>
  <c r="L50" i="1"/>
  <c r="M50" i="1" s="1"/>
  <c r="L51" i="1"/>
  <c r="L52" i="1"/>
  <c r="M52" i="1" s="1"/>
  <c r="L53" i="1"/>
  <c r="M53" i="1" s="1"/>
  <c r="L54" i="1"/>
  <c r="M54" i="1" s="1"/>
  <c r="L55" i="1"/>
  <c r="L56" i="1"/>
  <c r="M56" i="1" s="1"/>
  <c r="L57" i="1"/>
  <c r="M57" i="1" s="1"/>
  <c r="L58" i="1"/>
  <c r="M58" i="1" s="1"/>
  <c r="L59" i="1"/>
  <c r="L60" i="1"/>
  <c r="M60" i="1" s="1"/>
  <c r="L61" i="1"/>
  <c r="M61" i="1" s="1"/>
  <c r="L62" i="1"/>
  <c r="M62" i="1" s="1"/>
  <c r="L63" i="1"/>
  <c r="L64" i="1"/>
  <c r="M64" i="1" s="1"/>
  <c r="L65" i="1"/>
  <c r="M65" i="1" s="1"/>
  <c r="L66" i="1"/>
  <c r="M66" i="1" s="1"/>
  <c r="L67" i="1"/>
  <c r="L68" i="1"/>
  <c r="M68" i="1" s="1"/>
  <c r="L69" i="1"/>
  <c r="M69" i="1" s="1"/>
  <c r="L70" i="1"/>
  <c r="M70" i="1" s="1"/>
  <c r="L71" i="1"/>
  <c r="M71" i="1" s="1"/>
  <c r="L72" i="1"/>
  <c r="M72" i="1" s="1"/>
  <c r="L73" i="1"/>
  <c r="L74" i="1"/>
  <c r="M74" i="1" s="1"/>
  <c r="L75" i="1"/>
  <c r="L76" i="1"/>
  <c r="M76" i="1" s="1"/>
  <c r="L77" i="1"/>
  <c r="M77" i="1" s="1"/>
  <c r="L78" i="1"/>
  <c r="M78" i="1" s="1"/>
  <c r="L79" i="1"/>
  <c r="M79" i="1" s="1"/>
  <c r="L80" i="1"/>
  <c r="L81" i="1"/>
  <c r="M81" i="1" s="1"/>
  <c r="L82" i="1"/>
  <c r="M82" i="1" s="1"/>
  <c r="L83" i="1"/>
  <c r="L84" i="1"/>
  <c r="L85" i="1"/>
  <c r="L86" i="1"/>
  <c r="M86" i="1" s="1"/>
  <c r="L87" i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L105" i="1"/>
  <c r="L106" i="1"/>
  <c r="M106" i="1" s="1"/>
  <c r="L107" i="1"/>
  <c r="M107" i="1" s="1"/>
  <c r="L108" i="1"/>
  <c r="M108" i="1" s="1"/>
  <c r="L109" i="1"/>
  <c r="L110" i="1"/>
  <c r="M110" i="1" s="1"/>
  <c r="L111" i="1"/>
  <c r="L112" i="1"/>
  <c r="M112" i="1" s="1"/>
  <c r="L113" i="1"/>
  <c r="M113" i="1" s="1"/>
  <c r="L114" i="1"/>
  <c r="M114" i="1" s="1"/>
  <c r="L115" i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L128" i="1"/>
  <c r="L129" i="1"/>
  <c r="L130" i="1"/>
  <c r="M130" i="1" s="1"/>
  <c r="L131" i="1"/>
  <c r="L132" i="1"/>
  <c r="M132" i="1" s="1"/>
  <c r="L133" i="1"/>
  <c r="L134" i="1"/>
  <c r="M134" i="1" s="1"/>
  <c r="L135" i="1"/>
  <c r="L136" i="1"/>
  <c r="M136" i="1" s="1"/>
  <c r="L137" i="1"/>
  <c r="M137" i="1" s="1"/>
  <c r="L138" i="1"/>
  <c r="M138" i="1" s="1"/>
  <c r="L139" i="1"/>
  <c r="L140" i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L148" i="1"/>
  <c r="M148" i="1" s="1"/>
  <c r="L149" i="1"/>
  <c r="M149" i="1" s="1"/>
  <c r="L150" i="1"/>
  <c r="M150" i="1" s="1"/>
  <c r="L151" i="1"/>
  <c r="L152" i="1"/>
  <c r="L153" i="1"/>
  <c r="L154" i="1"/>
  <c r="M154" i="1" s="1"/>
  <c r="L155" i="1"/>
  <c r="M155" i="1" s="1"/>
  <c r="L156" i="1"/>
  <c r="M156" i="1" s="1"/>
  <c r="L157" i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L172" i="1"/>
  <c r="M172" i="1" s="1"/>
  <c r="L173" i="1"/>
  <c r="M173" i="1" s="1"/>
  <c r="L174" i="1"/>
  <c r="M174" i="1" s="1"/>
  <c r="L175" i="1"/>
  <c r="L176" i="1"/>
  <c r="L177" i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L190" i="1"/>
  <c r="M190" i="1" s="1"/>
  <c r="L191" i="1"/>
  <c r="L192" i="1"/>
  <c r="M192" i="1" s="1"/>
  <c r="L193" i="1"/>
  <c r="M193" i="1" s="1"/>
  <c r="L194" i="1"/>
  <c r="M194" i="1" s="1"/>
  <c r="L195" i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L202" i="1"/>
  <c r="M202" i="1" s="1"/>
  <c r="L203" i="1"/>
  <c r="L204" i="1"/>
  <c r="M204" i="1" s="1"/>
  <c r="L205" i="1"/>
  <c r="M205" i="1" s="1"/>
  <c r="L206" i="1"/>
  <c r="M206" i="1" s="1"/>
  <c r="L207" i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L214" i="1"/>
  <c r="M214" i="1" s="1"/>
  <c r="L215" i="1"/>
  <c r="L216" i="1"/>
  <c r="M216" i="1" s="1"/>
  <c r="L217" i="1"/>
  <c r="M217" i="1" s="1"/>
  <c r="L218" i="1"/>
  <c r="M218" i="1" s="1"/>
  <c r="L219" i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L228" i="1"/>
  <c r="M228" i="1" s="1"/>
  <c r="L229" i="1"/>
  <c r="L230" i="1"/>
  <c r="M230" i="1" s="1"/>
  <c r="L231" i="1"/>
  <c r="L232" i="1"/>
  <c r="M232" i="1" s="1"/>
  <c r="L233" i="1"/>
  <c r="M233" i="1" s="1"/>
  <c r="L234" i="1"/>
  <c r="M234" i="1" s="1"/>
  <c r="L235" i="1"/>
  <c r="L236" i="1"/>
  <c r="L237" i="1"/>
  <c r="M237" i="1" s="1"/>
  <c r="L238" i="1"/>
  <c r="M238" i="1" s="1"/>
  <c r="L239" i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L252" i="1"/>
  <c r="M252" i="1" s="1"/>
  <c r="L253" i="1"/>
  <c r="L254" i="1"/>
  <c r="M254" i="1" s="1"/>
  <c r="L255" i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L262" i="1"/>
  <c r="M262" i="1" s="1"/>
  <c r="L263" i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L278" i="1"/>
  <c r="M278" i="1" s="1"/>
  <c r="L279" i="1"/>
  <c r="L280" i="1"/>
  <c r="M280" i="1" s="1"/>
  <c r="L281" i="1"/>
  <c r="M281" i="1" s="1"/>
  <c r="L282" i="1"/>
  <c r="M282" i="1" s="1"/>
  <c r="L283" i="1"/>
  <c r="L284" i="1"/>
  <c r="M284" i="1" s="1"/>
  <c r="L285" i="1"/>
  <c r="M285" i="1" s="1"/>
  <c r="L286" i="1"/>
  <c r="M286" i="1" s="1"/>
  <c r="L287" i="1"/>
  <c r="L288" i="1"/>
  <c r="M288" i="1" s="1"/>
  <c r="L289" i="1"/>
  <c r="L290" i="1"/>
  <c r="M290" i="1" s="1"/>
  <c r="L291" i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L300" i="1"/>
  <c r="M300" i="1" s="1"/>
  <c r="L301" i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L309" i="1"/>
  <c r="M309" i="1" s="1"/>
  <c r="L310" i="1"/>
  <c r="M310" i="1" s="1"/>
  <c r="L311" i="1"/>
  <c r="L312" i="1"/>
  <c r="L313" i="1"/>
  <c r="L314" i="1"/>
  <c r="M314" i="1" s="1"/>
  <c r="L315" i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L333" i="1"/>
  <c r="L334" i="1"/>
  <c r="M334" i="1" s="1"/>
  <c r="L335" i="1"/>
  <c r="L336" i="1"/>
  <c r="M336" i="1" s="1"/>
  <c r="L337" i="1"/>
  <c r="L338" i="1"/>
  <c r="M338" i="1" s="1"/>
  <c r="L339" i="1"/>
  <c r="L340" i="1"/>
  <c r="M340" i="1" s="1"/>
  <c r="L341" i="1"/>
  <c r="M341" i="1" s="1"/>
  <c r="L342" i="1"/>
  <c r="M342" i="1" s="1"/>
  <c r="L343" i="1"/>
  <c r="L344" i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L352" i="1"/>
  <c r="M352" i="1" s="1"/>
  <c r="L353" i="1"/>
  <c r="M353" i="1" s="1"/>
  <c r="L354" i="1"/>
  <c r="M354" i="1" s="1"/>
  <c r="L355" i="1"/>
  <c r="L356" i="1"/>
  <c r="L357" i="1"/>
  <c r="L358" i="1"/>
  <c r="M358" i="1" s="1"/>
  <c r="L359" i="1"/>
  <c r="L360" i="1"/>
  <c r="M360" i="1" s="1"/>
  <c r="L361" i="1"/>
  <c r="L362" i="1"/>
  <c r="M362" i="1" s="1"/>
  <c r="L363" i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L376" i="1"/>
  <c r="M376" i="1" s="1"/>
  <c r="L377" i="1"/>
  <c r="M377" i="1" s="1"/>
  <c r="L378" i="1"/>
  <c r="M378" i="1" s="1"/>
  <c r="L379" i="1"/>
  <c r="L380" i="1"/>
  <c r="L381" i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L393" i="1"/>
  <c r="M393" i="1" s="1"/>
  <c r="L394" i="1"/>
  <c r="M394" i="1" s="1"/>
  <c r="L395" i="1"/>
  <c r="L396" i="1"/>
  <c r="M396" i="1" s="1"/>
  <c r="L397" i="1"/>
  <c r="M397" i="1" s="1"/>
  <c r="L398" i="1"/>
  <c r="M398" i="1" s="1"/>
  <c r="L399" i="1"/>
  <c r="L400" i="1"/>
  <c r="M400" i="1" s="1"/>
  <c r="L401" i="1"/>
  <c r="M401" i="1" s="1"/>
  <c r="L402" i="1"/>
  <c r="M402" i="1" s="1"/>
  <c r="L403" i="1"/>
  <c r="L404" i="1"/>
  <c r="L405" i="1"/>
  <c r="M405" i="1" s="1"/>
  <c r="L406" i="1"/>
  <c r="M406" i="1" s="1"/>
  <c r="L407" i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L418" i="1"/>
  <c r="M418" i="1" s="1"/>
  <c r="L419" i="1"/>
  <c r="L420" i="1"/>
  <c r="M420" i="1" s="1"/>
  <c r="L421" i="1"/>
  <c r="M421" i="1" s="1"/>
  <c r="L422" i="1"/>
  <c r="M422" i="1" s="1"/>
  <c r="L423" i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L432" i="1"/>
  <c r="M432" i="1" s="1"/>
  <c r="L433" i="1"/>
  <c r="L434" i="1"/>
  <c r="M434" i="1" s="1"/>
  <c r="L435" i="1"/>
  <c r="L436" i="1"/>
  <c r="M436" i="1" s="1"/>
  <c r="L437" i="1"/>
  <c r="M437" i="1" s="1"/>
  <c r="L438" i="1"/>
  <c r="M438" i="1" s="1"/>
  <c r="L439" i="1"/>
  <c r="L440" i="1"/>
  <c r="L441" i="1"/>
  <c r="M441" i="1" s="1"/>
  <c r="L442" i="1"/>
  <c r="M442" i="1" s="1"/>
  <c r="L443" i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L456" i="1"/>
  <c r="M456" i="1" s="1"/>
  <c r="L457" i="1"/>
  <c r="L458" i="1"/>
  <c r="M458" i="1" s="1"/>
  <c r="L459" i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L466" i="1"/>
  <c r="M466" i="1" s="1"/>
  <c r="L467" i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L477" i="1"/>
  <c r="M477" i="1" s="1"/>
  <c r="L478" i="1"/>
  <c r="M478" i="1" s="1"/>
  <c r="L479" i="1"/>
  <c r="M479" i="1" s="1"/>
  <c r="L480" i="1"/>
  <c r="M480" i="1" s="1"/>
  <c r="L481" i="1"/>
  <c r="L482" i="1"/>
  <c r="M482" i="1" s="1"/>
  <c r="L483" i="1"/>
  <c r="L484" i="1"/>
  <c r="M484" i="1" s="1"/>
  <c r="L485" i="1"/>
  <c r="M485" i="1" s="1"/>
  <c r="L486" i="1"/>
  <c r="M486" i="1" s="1"/>
  <c r="L487" i="1"/>
  <c r="L488" i="1"/>
  <c r="L489" i="1"/>
  <c r="M489" i="1" s="1"/>
  <c r="L490" i="1"/>
  <c r="M490" i="1" s="1"/>
  <c r="L491" i="1"/>
  <c r="L492" i="1"/>
  <c r="M492" i="1" s="1"/>
  <c r="L493" i="1"/>
  <c r="M493" i="1" s="1"/>
  <c r="L494" i="1"/>
  <c r="M494" i="1" s="1"/>
  <c r="L495" i="1"/>
  <c r="L496" i="1"/>
  <c r="M496" i="1" s="1"/>
  <c r="L497" i="1"/>
  <c r="M497" i="1" s="1"/>
  <c r="L498" i="1"/>
  <c r="M498" i="1" s="1"/>
  <c r="L499" i="1"/>
  <c r="L500" i="1"/>
  <c r="L501" i="1"/>
  <c r="M501" i="1" s="1"/>
  <c r="L502" i="1"/>
  <c r="M502" i="1" s="1"/>
  <c r="L503" i="1"/>
  <c r="M503" i="1" s="1"/>
  <c r="L504" i="1"/>
  <c r="M504" i="1" s="1"/>
  <c r="L505" i="1"/>
  <c r="L506" i="1"/>
  <c r="M506" i="1" s="1"/>
  <c r="L507" i="1"/>
  <c r="L508" i="1"/>
  <c r="M508" i="1" s="1"/>
  <c r="L509" i="1"/>
  <c r="M509" i="1" s="1"/>
  <c r="L510" i="1"/>
  <c r="M510" i="1" s="1"/>
  <c r="L511" i="1"/>
  <c r="M511" i="1" s="1"/>
  <c r="L512" i="1"/>
  <c r="L513" i="1"/>
  <c r="L514" i="1"/>
  <c r="M514" i="1" s="1"/>
  <c r="L515" i="1"/>
  <c r="M515" i="1" s="1"/>
  <c r="L516" i="1"/>
  <c r="M516" i="1" s="1"/>
  <c r="L517" i="1"/>
  <c r="L518" i="1"/>
  <c r="M518" i="1" s="1"/>
  <c r="L519" i="1"/>
  <c r="L520" i="1"/>
  <c r="M520" i="1" s="1"/>
  <c r="L521" i="1"/>
  <c r="M521" i="1" s="1"/>
  <c r="L522" i="1"/>
  <c r="M522" i="1" s="1"/>
  <c r="L523" i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L537" i="1"/>
  <c r="M537" i="1" s="1"/>
  <c r="L538" i="1"/>
  <c r="M538" i="1" s="1"/>
  <c r="L539" i="1"/>
  <c r="L540" i="1"/>
  <c r="M540" i="1" s="1"/>
  <c r="L541" i="1"/>
  <c r="L542" i="1"/>
  <c r="M542" i="1" s="1"/>
  <c r="L543" i="1"/>
  <c r="L544" i="1"/>
  <c r="M544" i="1" s="1"/>
  <c r="L545" i="1"/>
  <c r="L546" i="1"/>
  <c r="M546" i="1" s="1"/>
  <c r="L547" i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L554" i="1"/>
  <c r="M554" i="1" s="1"/>
  <c r="L555" i="1"/>
  <c r="L556" i="1"/>
  <c r="M556" i="1" s="1"/>
  <c r="L557" i="1"/>
  <c r="L558" i="1"/>
  <c r="M558" i="1" s="1"/>
  <c r="L559" i="1"/>
  <c r="L560" i="1"/>
  <c r="M560" i="1" s="1"/>
  <c r="L561" i="1"/>
  <c r="M561" i="1" s="1"/>
  <c r="L562" i="1"/>
  <c r="M562" i="1" s="1"/>
  <c r="L563" i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L580" i="1"/>
  <c r="M580" i="1" s="1"/>
  <c r="L581" i="1"/>
  <c r="L582" i="1"/>
  <c r="M582" i="1" s="1"/>
  <c r="L583" i="1"/>
  <c r="L584" i="1"/>
  <c r="L585" i="1"/>
  <c r="M585" i="1" s="1"/>
  <c r="L586" i="1"/>
  <c r="M586" i="1" s="1"/>
  <c r="L587" i="1"/>
  <c r="L588" i="1"/>
  <c r="M588" i="1" s="1"/>
  <c r="L589" i="1"/>
  <c r="L590" i="1"/>
  <c r="M590" i="1" s="1"/>
  <c r="L591" i="1"/>
  <c r="L592" i="1"/>
  <c r="M592" i="1" s="1"/>
  <c r="L593" i="1"/>
  <c r="M593" i="1" s="1"/>
  <c r="L594" i="1"/>
  <c r="M594" i="1" s="1"/>
  <c r="L595" i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L609" i="1"/>
  <c r="M609" i="1" s="1"/>
  <c r="L610" i="1"/>
  <c r="M610" i="1" s="1"/>
  <c r="L611" i="1"/>
  <c r="L612" i="1"/>
  <c r="M612" i="1" s="1"/>
  <c r="L613" i="1"/>
  <c r="M613" i="1" s="1"/>
  <c r="L614" i="1"/>
  <c r="M614" i="1" s="1"/>
  <c r="L615" i="1"/>
  <c r="L616" i="1"/>
  <c r="M616" i="1" s="1"/>
  <c r="L617" i="1"/>
  <c r="L618" i="1"/>
  <c r="M618" i="1" s="1"/>
  <c r="L619" i="1"/>
  <c r="L620" i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L628" i="1"/>
  <c r="M628" i="1" s="1"/>
  <c r="L629" i="1"/>
  <c r="L630" i="1"/>
  <c r="M630" i="1" s="1"/>
  <c r="L631" i="1"/>
  <c r="L632" i="1"/>
  <c r="L633" i="1"/>
  <c r="L2" i="1"/>
  <c r="M5" i="1"/>
  <c r="M6" i="1"/>
  <c r="M7" i="1"/>
  <c r="M15" i="1"/>
  <c r="M21" i="1"/>
  <c r="M23" i="1"/>
  <c r="M25" i="1"/>
  <c r="M27" i="1"/>
  <c r="M31" i="1"/>
  <c r="M32" i="1"/>
  <c r="M35" i="1"/>
  <c r="M47" i="1"/>
  <c r="M51" i="1"/>
  <c r="M55" i="1"/>
  <c r="M59" i="1"/>
  <c r="M63" i="1"/>
  <c r="M67" i="1"/>
  <c r="M73" i="1"/>
  <c r="M75" i="1"/>
  <c r="M80" i="1"/>
  <c r="M83" i="1"/>
  <c r="M84" i="1"/>
  <c r="M85" i="1"/>
  <c r="M87" i="1"/>
  <c r="M95" i="1"/>
  <c r="M104" i="1"/>
  <c r="M105" i="1"/>
  <c r="M109" i="1"/>
  <c r="M111" i="1"/>
  <c r="M115" i="1"/>
  <c r="M127" i="1"/>
  <c r="M128" i="1"/>
  <c r="M129" i="1"/>
  <c r="M131" i="1"/>
  <c r="M133" i="1"/>
  <c r="M135" i="1"/>
  <c r="M139" i="1"/>
  <c r="M140" i="1"/>
  <c r="M147" i="1"/>
  <c r="M151" i="1"/>
  <c r="M152" i="1"/>
  <c r="M153" i="1"/>
  <c r="M157" i="1"/>
  <c r="M165" i="1"/>
  <c r="M171" i="1"/>
  <c r="M175" i="1"/>
  <c r="M176" i="1"/>
  <c r="M177" i="1"/>
  <c r="M189" i="1"/>
  <c r="M191" i="1"/>
  <c r="M195" i="1"/>
  <c r="M201" i="1"/>
  <c r="M203" i="1"/>
  <c r="M207" i="1"/>
  <c r="M213" i="1"/>
  <c r="M215" i="1"/>
  <c r="M219" i="1"/>
  <c r="M227" i="1"/>
  <c r="M229" i="1"/>
  <c r="M231" i="1"/>
  <c r="M235" i="1"/>
  <c r="M236" i="1"/>
  <c r="M239" i="1"/>
  <c r="M251" i="1"/>
  <c r="M253" i="1"/>
  <c r="M255" i="1"/>
  <c r="M261" i="1"/>
  <c r="M263" i="1"/>
  <c r="M271" i="1"/>
  <c r="M277" i="1"/>
  <c r="M279" i="1"/>
  <c r="M283" i="1"/>
  <c r="M287" i="1"/>
  <c r="M289" i="1"/>
  <c r="M291" i="1"/>
  <c r="M299" i="1"/>
  <c r="M301" i="1"/>
  <c r="M308" i="1"/>
  <c r="M311" i="1"/>
  <c r="M312" i="1"/>
  <c r="M313" i="1"/>
  <c r="M315" i="1"/>
  <c r="M323" i="1"/>
  <c r="M332" i="1"/>
  <c r="M333" i="1"/>
  <c r="M335" i="1"/>
  <c r="M337" i="1"/>
  <c r="M339" i="1"/>
  <c r="M343" i="1"/>
  <c r="M344" i="1"/>
  <c r="M351" i="1"/>
  <c r="M355" i="1"/>
  <c r="M356" i="1"/>
  <c r="M357" i="1"/>
  <c r="M359" i="1"/>
  <c r="M361" i="1"/>
  <c r="M363" i="1"/>
  <c r="M375" i="1"/>
  <c r="M379" i="1"/>
  <c r="M380" i="1"/>
  <c r="M381" i="1"/>
  <c r="M392" i="1"/>
  <c r="M395" i="1"/>
  <c r="M399" i="1"/>
  <c r="M403" i="1"/>
  <c r="M404" i="1"/>
  <c r="M407" i="1"/>
  <c r="M417" i="1"/>
  <c r="M419" i="1"/>
  <c r="M423" i="1"/>
  <c r="M431" i="1"/>
  <c r="M433" i="1"/>
  <c r="M435" i="1"/>
  <c r="M439" i="1"/>
  <c r="M440" i="1"/>
  <c r="M443" i="1"/>
  <c r="M455" i="1"/>
  <c r="M457" i="1"/>
  <c r="M459" i="1"/>
  <c r="M465" i="1"/>
  <c r="M467" i="1"/>
  <c r="M476" i="1"/>
  <c r="M481" i="1"/>
  <c r="M483" i="1"/>
  <c r="M487" i="1"/>
  <c r="M488" i="1"/>
  <c r="M491" i="1"/>
  <c r="M495" i="1"/>
  <c r="M499" i="1"/>
  <c r="M500" i="1"/>
  <c r="M505" i="1"/>
  <c r="M507" i="1"/>
  <c r="M512" i="1"/>
  <c r="M513" i="1"/>
  <c r="M517" i="1"/>
  <c r="M519" i="1"/>
  <c r="M523" i="1"/>
  <c r="M536" i="1"/>
  <c r="M539" i="1"/>
  <c r="M541" i="1"/>
  <c r="M543" i="1"/>
  <c r="M545" i="1"/>
  <c r="M547" i="1"/>
  <c r="M553" i="1"/>
  <c r="M555" i="1"/>
  <c r="M557" i="1"/>
  <c r="M559" i="1"/>
  <c r="M563" i="1"/>
  <c r="M579" i="1"/>
  <c r="M581" i="1"/>
  <c r="M583" i="1"/>
  <c r="M584" i="1"/>
  <c r="M587" i="1"/>
  <c r="M589" i="1"/>
  <c r="M591" i="1"/>
  <c r="M595" i="1"/>
  <c r="M601" i="1"/>
  <c r="M608" i="1"/>
  <c r="M611" i="1"/>
  <c r="M615" i="1"/>
  <c r="M617" i="1"/>
  <c r="M619" i="1"/>
  <c r="M620" i="1"/>
  <c r="M627" i="1"/>
  <c r="M629" i="1"/>
  <c r="M631" i="1"/>
  <c r="M632" i="1"/>
  <c r="M633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" i="1"/>
  <c r="B4" i="1"/>
  <c r="B3" i="1"/>
  <c r="B2" i="1"/>
  <c r="H246" i="1"/>
  <c r="H10" i="1"/>
  <c r="N10" i="1" s="1"/>
  <c r="H16" i="1"/>
  <c r="N16" i="1" s="1"/>
  <c r="H17" i="1"/>
  <c r="N17" i="1" s="1"/>
  <c r="H18" i="1"/>
  <c r="N18" i="1" s="1"/>
  <c r="H19" i="1"/>
  <c r="N19" i="1" s="1"/>
  <c r="H27" i="1"/>
  <c r="N27" i="1" s="1"/>
  <c r="H32" i="1"/>
  <c r="N32" i="1" s="1"/>
  <c r="H33" i="1"/>
  <c r="N33" i="1" s="1"/>
  <c r="H34" i="1"/>
  <c r="N34" i="1" s="1"/>
  <c r="H40" i="1"/>
  <c r="N40" i="1" s="1"/>
  <c r="H42" i="1"/>
  <c r="H44" i="1"/>
  <c r="N44" i="1" s="1"/>
  <c r="H45" i="1"/>
  <c r="N45" i="1" s="1"/>
  <c r="H46" i="1"/>
  <c r="N46" i="1" s="1"/>
  <c r="H52" i="1"/>
  <c r="H54" i="1"/>
  <c r="H56" i="1"/>
  <c r="N56" i="1" s="1"/>
  <c r="H57" i="1"/>
  <c r="N57" i="1" s="1"/>
  <c r="H58" i="1"/>
  <c r="N58" i="1" s="1"/>
  <c r="H78" i="1"/>
  <c r="N78" i="1" s="1"/>
  <c r="H92" i="1"/>
  <c r="N92" i="1" s="1"/>
  <c r="H95" i="1"/>
  <c r="N95" i="1" s="1"/>
  <c r="H112" i="1"/>
  <c r="N112" i="1" s="1"/>
  <c r="H124" i="1"/>
  <c r="N124" i="1" s="1"/>
  <c r="H126" i="1"/>
  <c r="N126" i="1" s="1"/>
  <c r="H136" i="1"/>
  <c r="H138" i="1"/>
  <c r="N138" i="1" s="1"/>
  <c r="H140" i="1"/>
  <c r="N140" i="1" s="1"/>
  <c r="H141" i="1"/>
  <c r="N141" i="1" s="1"/>
  <c r="H142" i="1"/>
  <c r="N142" i="1" s="1"/>
  <c r="H157" i="1"/>
  <c r="N157" i="1" s="1"/>
  <c r="H163" i="1"/>
  <c r="N163" i="1" s="1"/>
  <c r="H171" i="1"/>
  <c r="H172" i="1"/>
  <c r="N172" i="1" s="1"/>
  <c r="H178" i="1"/>
  <c r="N178" i="1" s="1"/>
  <c r="H179" i="1"/>
  <c r="N179" i="1" s="1"/>
  <c r="H184" i="1"/>
  <c r="N184" i="1" s="1"/>
  <c r="H186" i="1"/>
  <c r="H188" i="1"/>
  <c r="N188" i="1" s="1"/>
  <c r="H189" i="1"/>
  <c r="N189" i="1" s="1"/>
  <c r="H190" i="1"/>
  <c r="N190" i="1" s="1"/>
  <c r="H191" i="1"/>
  <c r="N191" i="1" s="1"/>
  <c r="H198" i="1"/>
  <c r="N198" i="1" s="1"/>
  <c r="H199" i="1"/>
  <c r="N199" i="1" s="1"/>
  <c r="H202" i="1"/>
  <c r="N202" i="1" s="1"/>
  <c r="H208" i="1"/>
  <c r="N208" i="1" s="1"/>
  <c r="H222" i="1"/>
  <c r="N222" i="1" s="1"/>
  <c r="H224" i="1"/>
  <c r="N224" i="1" s="1"/>
  <c r="H225" i="1"/>
  <c r="N225" i="1" s="1"/>
  <c r="H226" i="1"/>
  <c r="N226" i="1" s="1"/>
  <c r="H235" i="1"/>
  <c r="N235" i="1" s="1"/>
  <c r="H256" i="1"/>
  <c r="N256" i="1" s="1"/>
  <c r="H258" i="1"/>
  <c r="N258" i="1" s="1"/>
  <c r="H268" i="1"/>
  <c r="N268" i="1" s="1"/>
  <c r="H269" i="1"/>
  <c r="N269" i="1" s="1"/>
  <c r="H272" i="1"/>
  <c r="N272" i="1" s="1"/>
  <c r="H273" i="1"/>
  <c r="N273" i="1" s="1"/>
  <c r="H282" i="1"/>
  <c r="N282" i="1" s="1"/>
  <c r="H283" i="1"/>
  <c r="N283" i="1" s="1"/>
  <c r="H285" i="1"/>
  <c r="H286" i="1"/>
  <c r="N286" i="1" s="1"/>
  <c r="H294" i="1"/>
  <c r="N294" i="1" s="1"/>
  <c r="H307" i="1"/>
  <c r="N307" i="1" s="1"/>
  <c r="H308" i="1"/>
  <c r="N308" i="1" s="1"/>
  <c r="H309" i="1"/>
  <c r="N309" i="1" s="1"/>
  <c r="H310" i="1"/>
  <c r="N310" i="1" s="1"/>
  <c r="H316" i="1"/>
  <c r="N316" i="1" s="1"/>
  <c r="H320" i="1"/>
  <c r="N320" i="1" s="1"/>
  <c r="H321" i="1"/>
  <c r="N321" i="1" s="1"/>
  <c r="H323" i="1"/>
  <c r="N323" i="1" s="1"/>
  <c r="H328" i="1"/>
  <c r="N328" i="1" s="1"/>
  <c r="H330" i="1"/>
  <c r="H334" i="1"/>
  <c r="N334" i="1" s="1"/>
  <c r="H340" i="1"/>
  <c r="N340" i="1" s="1"/>
  <c r="H352" i="1"/>
  <c r="N352" i="1" s="1"/>
  <c r="H354" i="1"/>
  <c r="N354" i="1" s="1"/>
  <c r="H355" i="1"/>
  <c r="N355" i="1" s="1"/>
  <c r="H356" i="1"/>
  <c r="N356" i="1" s="1"/>
  <c r="H367" i="1"/>
  <c r="N367" i="1" s="1"/>
  <c r="H369" i="1"/>
  <c r="N369" i="1" s="1"/>
  <c r="H370" i="1"/>
  <c r="N370" i="1" s="1"/>
  <c r="H387" i="1"/>
  <c r="H388" i="1"/>
  <c r="N388" i="1" s="1"/>
  <c r="H391" i="1"/>
  <c r="N391" i="1" s="1"/>
  <c r="H399" i="1"/>
  <c r="N399" i="1" s="1"/>
  <c r="H400" i="1"/>
  <c r="N400" i="1" s="1"/>
  <c r="H402" i="1"/>
  <c r="N402" i="1" s="1"/>
  <c r="H403" i="1"/>
  <c r="N403" i="1" s="1"/>
  <c r="H412" i="1"/>
  <c r="N412" i="1" s="1"/>
  <c r="H415" i="1"/>
  <c r="N415" i="1" s="1"/>
  <c r="H416" i="1"/>
  <c r="N416" i="1" s="1"/>
  <c r="H417" i="1"/>
  <c r="N417" i="1" s="1"/>
  <c r="H419" i="1"/>
  <c r="N419" i="1" s="1"/>
  <c r="H438" i="1"/>
  <c r="N438" i="1" s="1"/>
  <c r="H439" i="1"/>
  <c r="N439" i="1" s="1"/>
  <c r="H440" i="1"/>
  <c r="N440" i="1" s="1"/>
  <c r="H452" i="1"/>
  <c r="N452" i="1" s="1"/>
  <c r="H453" i="1"/>
  <c r="N453" i="1" s="1"/>
  <c r="H455" i="1"/>
  <c r="H463" i="1"/>
  <c r="N463" i="1" s="1"/>
  <c r="H474" i="1"/>
  <c r="N474" i="1" s="1"/>
  <c r="H475" i="1"/>
  <c r="N475" i="1" s="1"/>
  <c r="H484" i="1"/>
  <c r="H486" i="1"/>
  <c r="N486" i="1" s="1"/>
  <c r="H496" i="1"/>
  <c r="N496" i="1" s="1"/>
  <c r="H498" i="1"/>
  <c r="N498" i="1" s="1"/>
  <c r="H499" i="1"/>
  <c r="N499" i="1" s="1"/>
  <c r="H500" i="1"/>
  <c r="N500" i="1" s="1"/>
  <c r="H501" i="1"/>
  <c r="N501" i="1" s="1"/>
  <c r="H523" i="1"/>
  <c r="N523" i="1" s="1"/>
  <c r="H531" i="1"/>
  <c r="N531" i="1" s="1"/>
  <c r="H532" i="1"/>
  <c r="N532" i="1" s="1"/>
  <c r="H536" i="1"/>
  <c r="N536" i="1" s="1"/>
  <c r="H537" i="1"/>
  <c r="N537" i="1" s="1"/>
  <c r="H538" i="1"/>
  <c r="N538" i="1" s="1"/>
  <c r="H544" i="1"/>
  <c r="N544" i="1" s="1"/>
  <c r="H546" i="1"/>
  <c r="N546" i="1" s="1"/>
  <c r="H547" i="1"/>
  <c r="N547" i="1" s="1"/>
  <c r="H548" i="1"/>
  <c r="N548" i="1" s="1"/>
  <c r="H551" i="1"/>
  <c r="N551" i="1" s="1"/>
  <c r="H559" i="1"/>
  <c r="N559" i="1" s="1"/>
  <c r="H561" i="1"/>
  <c r="N561" i="1" s="1"/>
  <c r="H568" i="1"/>
  <c r="N568" i="1" s="1"/>
  <c r="D35" i="2" l="1"/>
  <c r="B37" i="2"/>
  <c r="D37" i="2" s="1"/>
  <c r="B39" i="2"/>
  <c r="D39" i="2" s="1"/>
  <c r="D19" i="2"/>
  <c r="B8" i="2"/>
  <c r="D8" i="2" s="1"/>
  <c r="B6" i="2"/>
  <c r="B10" i="2" s="1"/>
  <c r="H288" i="1"/>
  <c r="N288" i="1" s="1"/>
  <c r="H372" i="1"/>
  <c r="N372" i="1" s="1"/>
  <c r="H563" i="1"/>
  <c r="N563" i="1" s="1"/>
  <c r="H454" i="1"/>
  <c r="N454" i="1" s="1"/>
  <c r="H401" i="1"/>
  <c r="N401" i="1" s="1"/>
  <c r="H371" i="1"/>
  <c r="N371" i="1" s="1"/>
  <c r="H338" i="1"/>
  <c r="N338" i="1" s="1"/>
  <c r="H322" i="1"/>
  <c r="N322" i="1" s="1"/>
  <c r="H287" i="1"/>
  <c r="N287" i="1" s="1"/>
  <c r="H271" i="1"/>
  <c r="N271" i="1" s="1"/>
  <c r="H203" i="1"/>
  <c r="N203" i="1" s="1"/>
  <c r="H175" i="1"/>
  <c r="N175" i="1" s="1"/>
  <c r="H110" i="1"/>
  <c r="N110" i="1" s="1"/>
  <c r="H94" i="1"/>
  <c r="N94" i="1" s="1"/>
  <c r="H238" i="1"/>
  <c r="N238" i="1" s="1"/>
  <c r="H187" i="1"/>
  <c r="N187" i="1" s="1"/>
  <c r="H71" i="1"/>
  <c r="N71" i="1" s="1"/>
  <c r="H55" i="1"/>
  <c r="N55" i="1" s="1"/>
  <c r="H560" i="1"/>
  <c r="N560" i="1" s="1"/>
  <c r="H451" i="1"/>
  <c r="N451" i="1" s="1"/>
  <c r="H368" i="1"/>
  <c r="N368" i="1" s="1"/>
  <c r="H331" i="1"/>
  <c r="N331" i="1" s="1"/>
  <c r="H319" i="1"/>
  <c r="N319" i="1" s="1"/>
  <c r="H284" i="1"/>
  <c r="N284" i="1" s="1"/>
  <c r="H91" i="1"/>
  <c r="N91" i="1" s="1"/>
  <c r="H545" i="1"/>
  <c r="N545" i="1" s="1"/>
  <c r="H569" i="1"/>
  <c r="N569" i="1" s="1"/>
  <c r="H209" i="1"/>
  <c r="N209" i="1" s="1"/>
  <c r="H449" i="1"/>
  <c r="N449" i="1" s="1"/>
  <c r="H518" i="1"/>
  <c r="N518" i="1" s="1"/>
  <c r="H485" i="1"/>
  <c r="N485" i="1" s="1"/>
  <c r="H469" i="1"/>
  <c r="N469" i="1" s="1"/>
  <c r="H339" i="1"/>
  <c r="N339" i="1" s="1"/>
  <c r="H257" i="1"/>
  <c r="N257" i="1" s="1"/>
  <c r="H158" i="1"/>
  <c r="N158" i="1" s="1"/>
  <c r="H125" i="1"/>
  <c r="N125" i="1" s="1"/>
  <c r="H111" i="1"/>
  <c r="N111" i="1" s="1"/>
  <c r="H79" i="1"/>
  <c r="N79" i="1" s="1"/>
  <c r="H483" i="1"/>
  <c r="N483" i="1" s="1"/>
  <c r="H353" i="1"/>
  <c r="N353" i="1" s="1"/>
  <c r="H255" i="1"/>
  <c r="N255" i="1" s="1"/>
  <c r="H223" i="1"/>
  <c r="N223" i="1" s="1"/>
  <c r="H139" i="1"/>
  <c r="N139" i="1" s="1"/>
  <c r="H123" i="1"/>
  <c r="N123" i="1" s="1"/>
  <c r="H43" i="1"/>
  <c r="N43" i="1" s="1"/>
  <c r="H31" i="1"/>
  <c r="N31" i="1" s="1"/>
  <c r="H533" i="1"/>
  <c r="N533" i="1" s="1"/>
  <c r="H437" i="1"/>
  <c r="N437" i="1" s="1"/>
  <c r="H304" i="1"/>
  <c r="N304" i="1" s="1"/>
  <c r="H173" i="1"/>
  <c r="N173" i="1" s="1"/>
  <c r="H77" i="1"/>
  <c r="N77" i="1" s="1"/>
  <c r="H28" i="1"/>
  <c r="N28" i="1" s="1"/>
  <c r="H41" i="1"/>
  <c r="N41" i="1" s="1"/>
  <c r="H185" i="1"/>
  <c r="N185" i="1" s="1"/>
  <c r="H53" i="1"/>
  <c r="N53" i="1" s="1"/>
  <c r="H497" i="1"/>
  <c r="N497" i="1" s="1"/>
  <c r="H377" i="1"/>
  <c r="N377" i="1" s="1"/>
  <c r="H137" i="1"/>
  <c r="N137" i="1" s="1"/>
  <c r="H329" i="1"/>
  <c r="N329" i="1" s="1"/>
  <c r="H557" i="1"/>
  <c r="N557" i="1" s="1"/>
  <c r="H511" i="1"/>
  <c r="N511" i="1" s="1"/>
  <c r="H427" i="1"/>
  <c r="N427" i="1" s="1"/>
  <c r="H197" i="1"/>
  <c r="N197" i="1" s="1"/>
  <c r="H151" i="1"/>
  <c r="N151" i="1" s="1"/>
  <c r="H509" i="1"/>
  <c r="N509" i="1" s="1"/>
  <c r="H149" i="1"/>
  <c r="N149" i="1" s="1"/>
  <c r="H426" i="1"/>
  <c r="N426" i="1" s="1"/>
  <c r="H280" i="1"/>
  <c r="N280" i="1" s="1"/>
  <c r="H196" i="1"/>
  <c r="N196" i="1" s="1"/>
  <c r="H150" i="1"/>
  <c r="N150" i="1" s="1"/>
  <c r="H66" i="1"/>
  <c r="N66" i="1" s="1"/>
  <c r="H508" i="1"/>
  <c r="N508" i="1" s="1"/>
  <c r="H462" i="1"/>
  <c r="N462" i="1" s="1"/>
  <c r="H234" i="1"/>
  <c r="N234" i="1" s="1"/>
  <c r="H148" i="1"/>
  <c r="N148" i="1" s="1"/>
  <c r="H102" i="1"/>
  <c r="N102" i="1" s="1"/>
  <c r="H510" i="1"/>
  <c r="N510" i="1" s="1"/>
  <c r="H472" i="1"/>
  <c r="N472" i="1" s="1"/>
  <c r="H425" i="1"/>
  <c r="N425" i="1" s="1"/>
  <c r="H342" i="1"/>
  <c r="N342" i="1" s="1"/>
  <c r="H244" i="1"/>
  <c r="N244" i="1" s="1"/>
  <c r="H114" i="1"/>
  <c r="N114" i="1" s="1"/>
  <c r="H65" i="1"/>
  <c r="N65" i="1" s="1"/>
  <c r="H507" i="1"/>
  <c r="N507" i="1" s="1"/>
  <c r="H461" i="1"/>
  <c r="N461" i="1" s="1"/>
  <c r="H365" i="1"/>
  <c r="N365" i="1" s="1"/>
  <c r="H279" i="1"/>
  <c r="N279" i="1" s="1"/>
  <c r="H233" i="1"/>
  <c r="N233" i="1" s="1"/>
  <c r="H147" i="1"/>
  <c r="N147" i="1" s="1"/>
  <c r="H101" i="1"/>
  <c r="N101" i="1" s="1"/>
  <c r="H413" i="1"/>
  <c r="N413" i="1" s="1"/>
  <c r="H281" i="1"/>
  <c r="N281" i="1" s="1"/>
  <c r="H67" i="1"/>
  <c r="N67" i="1" s="1"/>
  <c r="H7" i="1"/>
  <c r="N7" i="1" s="1"/>
  <c r="H376" i="1"/>
  <c r="N376" i="1" s="1"/>
  <c r="H245" i="1"/>
  <c r="N245" i="1" s="1"/>
  <c r="H556" i="1"/>
  <c r="N556" i="1" s="1"/>
  <c r="H473" i="1"/>
  <c r="N473" i="1" s="1"/>
  <c r="H570" i="1"/>
  <c r="N570" i="1" s="1"/>
  <c r="H424" i="1"/>
  <c r="N424" i="1" s="1"/>
  <c r="H341" i="1"/>
  <c r="N341" i="1" s="1"/>
  <c r="H210" i="1"/>
  <c r="N210" i="1" s="1"/>
  <c r="H113" i="1"/>
  <c r="N113" i="1" s="1"/>
  <c r="H64" i="1"/>
  <c r="N64" i="1" s="1"/>
  <c r="H450" i="1"/>
  <c r="N450" i="1" s="1"/>
  <c r="H364" i="1"/>
  <c r="N364" i="1" s="1"/>
  <c r="H318" i="1"/>
  <c r="N318" i="1" s="1"/>
  <c r="H232" i="1"/>
  <c r="N232" i="1" s="1"/>
  <c r="H90" i="1"/>
  <c r="N90" i="1" s="1"/>
  <c r="H3" i="1"/>
  <c r="N3" i="1" s="1"/>
  <c r="H514" i="1"/>
  <c r="N514" i="1" s="1"/>
  <c r="H70" i="1"/>
  <c r="N70" i="1" s="1"/>
  <c r="H264" i="1"/>
  <c r="N264" i="1" s="1"/>
  <c r="H513" i="1"/>
  <c r="N513" i="1" s="1"/>
  <c r="H519" i="1"/>
  <c r="N519" i="1" s="1"/>
  <c r="H477" i="1"/>
  <c r="N477" i="1" s="1"/>
  <c r="H291" i="1"/>
  <c r="N291" i="1" s="1"/>
  <c r="H159" i="1"/>
  <c r="N159" i="1" s="1"/>
  <c r="H104" i="1"/>
  <c r="N104" i="1" s="1"/>
  <c r="H375" i="1"/>
  <c r="N375" i="1" s="1"/>
  <c r="H468" i="1"/>
  <c r="N468" i="1" s="1"/>
  <c r="H456" i="1"/>
  <c r="N456" i="1" s="1"/>
  <c r="H324" i="1"/>
  <c r="N324" i="1" s="1"/>
  <c r="H4" i="1"/>
  <c r="N4" i="1" s="1"/>
  <c r="H516" i="1"/>
  <c r="N516" i="1" s="1"/>
  <c r="H432" i="1"/>
  <c r="N432" i="1" s="1"/>
  <c r="H335" i="1"/>
  <c r="N335" i="1" s="1"/>
  <c r="H239" i="1"/>
  <c r="N239" i="1" s="1"/>
  <c r="H156" i="1"/>
  <c r="N156" i="1" s="1"/>
  <c r="H72" i="1"/>
  <c r="N72" i="1" s="1"/>
  <c r="H240" i="1"/>
  <c r="N240" i="1" s="1"/>
  <c r="H467" i="1"/>
  <c r="N467" i="1" s="1"/>
  <c r="H155" i="1"/>
  <c r="N155" i="1" s="1"/>
  <c r="H430" i="1"/>
  <c r="N430" i="1" s="1"/>
  <c r="H154" i="1"/>
  <c r="N154" i="1" s="1"/>
  <c r="H478" i="1"/>
  <c r="N478" i="1" s="1"/>
  <c r="H464" i="1"/>
  <c r="N464" i="1" s="1"/>
  <c r="H346" i="1"/>
  <c r="N346" i="1" s="1"/>
  <c r="H267" i="1"/>
  <c r="N267" i="1" s="1"/>
  <c r="H236" i="1"/>
  <c r="N236" i="1" s="1"/>
  <c r="H153" i="1"/>
  <c r="N153" i="1" s="1"/>
  <c r="H118" i="1"/>
  <c r="N118" i="1" s="1"/>
  <c r="H106" i="1"/>
  <c r="N106" i="1" s="1"/>
  <c r="H69" i="1"/>
  <c r="N69" i="1" s="1"/>
  <c r="H522" i="1"/>
  <c r="N522" i="1" s="1"/>
  <c r="H492" i="1"/>
  <c r="N492" i="1" s="1"/>
  <c r="H436" i="1"/>
  <c r="N436" i="1" s="1"/>
  <c r="H390" i="1"/>
  <c r="N390" i="1" s="1"/>
  <c r="H303" i="1"/>
  <c r="N303" i="1" s="1"/>
  <c r="H260" i="1"/>
  <c r="N260" i="1" s="1"/>
  <c r="H162" i="1"/>
  <c r="N162" i="1" s="1"/>
  <c r="H76" i="1"/>
  <c r="N76" i="1" s="1"/>
  <c r="H15" i="1"/>
  <c r="N15" i="1" s="1"/>
  <c r="H515" i="1"/>
  <c r="N515" i="1" s="1"/>
  <c r="H428" i="1"/>
  <c r="N428" i="1" s="1"/>
  <c r="H345" i="1"/>
  <c r="N345" i="1" s="1"/>
  <c r="H214" i="1"/>
  <c r="N214" i="1" s="1"/>
  <c r="H152" i="1"/>
  <c r="N152" i="1" s="1"/>
  <c r="H117" i="1"/>
  <c r="N117" i="1" s="1"/>
  <c r="H105" i="1"/>
  <c r="N105" i="1" s="1"/>
  <c r="H68" i="1"/>
  <c r="N68" i="1" s="1"/>
  <c r="H39" i="1"/>
  <c r="N39" i="1" s="1"/>
  <c r="H521" i="1"/>
  <c r="N521" i="1" s="1"/>
  <c r="H435" i="1"/>
  <c r="N435" i="1" s="1"/>
  <c r="H389" i="1"/>
  <c r="N389" i="1" s="1"/>
  <c r="H293" i="1"/>
  <c r="N293" i="1" s="1"/>
  <c r="H249" i="1"/>
  <c r="N249" i="1" s="1"/>
  <c r="H161" i="1"/>
  <c r="N161" i="1" s="1"/>
  <c r="H75" i="1"/>
  <c r="N75" i="1" s="1"/>
  <c r="H12" i="1"/>
  <c r="N12" i="1" s="1"/>
  <c r="H431" i="1"/>
  <c r="N431" i="1" s="1"/>
  <c r="H108" i="1"/>
  <c r="N108" i="1" s="1"/>
  <c r="H465" i="1"/>
  <c r="N465" i="1" s="1"/>
  <c r="H429" i="1"/>
  <c r="N429" i="1" s="1"/>
  <c r="H574" i="1"/>
  <c r="N574" i="1" s="1"/>
  <c r="H543" i="1"/>
  <c r="N543" i="1" s="1"/>
  <c r="H512" i="1"/>
  <c r="N512" i="1" s="1"/>
  <c r="H382" i="1"/>
  <c r="N382" i="1" s="1"/>
  <c r="H315" i="1"/>
  <c r="N315" i="1" s="1"/>
  <c r="H130" i="1"/>
  <c r="N130" i="1" s="1"/>
  <c r="H100" i="1"/>
  <c r="N100" i="1" s="1"/>
  <c r="H51" i="1"/>
  <c r="N51" i="1" s="1"/>
  <c r="H567" i="1"/>
  <c r="N567" i="1" s="1"/>
  <c r="H520" i="1"/>
  <c r="N520" i="1" s="1"/>
  <c r="H378" i="1"/>
  <c r="N378" i="1" s="1"/>
  <c r="H292" i="1"/>
  <c r="N292" i="1" s="1"/>
  <c r="H247" i="1"/>
  <c r="N247" i="1" s="1"/>
  <c r="H207" i="1"/>
  <c r="N207" i="1" s="1"/>
  <c r="H160" i="1"/>
  <c r="N160" i="1" s="1"/>
  <c r="H11" i="1"/>
  <c r="N11" i="1" s="1"/>
  <c r="H470" i="1"/>
  <c r="N470" i="1" s="1"/>
  <c r="H373" i="1"/>
  <c r="N373" i="1" s="1"/>
  <c r="H242" i="1"/>
  <c r="N242" i="1" s="1"/>
  <c r="H96" i="1"/>
  <c r="N96" i="1" s="1"/>
  <c r="H80" i="1"/>
  <c r="N80" i="1" s="1"/>
  <c r="H59" i="1"/>
  <c r="N59" i="1" s="1"/>
  <c r="H579" i="1"/>
  <c r="N579" i="1" s="1"/>
  <c r="H493" i="1"/>
  <c r="N493" i="1" s="1"/>
  <c r="H404" i="1"/>
  <c r="N404" i="1" s="1"/>
  <c r="H351" i="1"/>
  <c r="N351" i="1" s="1"/>
  <c r="H219" i="1"/>
  <c r="N219" i="1" s="1"/>
  <c r="H133" i="1"/>
  <c r="N133" i="1" s="1"/>
  <c r="H241" i="1"/>
  <c r="N241" i="1" s="1"/>
  <c r="H578" i="1"/>
  <c r="N578" i="1" s="1"/>
  <c r="H350" i="1"/>
  <c r="N350" i="1" s="1"/>
  <c r="H218" i="1"/>
  <c r="N218" i="1" s="1"/>
  <c r="H132" i="1"/>
  <c r="N132" i="1" s="1"/>
  <c r="H577" i="1"/>
  <c r="N577" i="1" s="1"/>
  <c r="H481" i="1"/>
  <c r="N481" i="1" s="1"/>
  <c r="H349" i="1"/>
  <c r="N349" i="1" s="1"/>
  <c r="H217" i="1"/>
  <c r="N217" i="1" s="1"/>
  <c r="H121" i="1"/>
  <c r="N121" i="1" s="1"/>
  <c r="H386" i="1"/>
  <c r="N386" i="1" s="1"/>
  <c r="H109" i="1"/>
  <c r="N109" i="1" s="1"/>
  <c r="H480" i="1"/>
  <c r="N480" i="1" s="1"/>
  <c r="H434" i="1"/>
  <c r="N434" i="1" s="1"/>
  <c r="H348" i="1"/>
  <c r="N348" i="1" s="1"/>
  <c r="H120" i="1"/>
  <c r="N120" i="1" s="1"/>
  <c r="H74" i="1"/>
  <c r="N74" i="1" s="1"/>
  <c r="H8" i="1"/>
  <c r="N8" i="1" s="1"/>
  <c r="H385" i="1"/>
  <c r="N385" i="1" s="1"/>
  <c r="H566" i="1"/>
  <c r="N566" i="1" s="1"/>
  <c r="H337" i="1"/>
  <c r="N337" i="1" s="1"/>
  <c r="H73" i="1"/>
  <c r="N73" i="1" s="1"/>
  <c r="H576" i="1"/>
  <c r="N576" i="1" s="1"/>
  <c r="H530" i="1"/>
  <c r="N530" i="1" s="1"/>
  <c r="H479" i="1"/>
  <c r="N479" i="1" s="1"/>
  <c r="H398" i="1"/>
  <c r="N398" i="1" s="1"/>
  <c r="H384" i="1"/>
  <c r="N384" i="1" s="1"/>
  <c r="H347" i="1"/>
  <c r="N347" i="1" s="1"/>
  <c r="H301" i="1"/>
  <c r="N301" i="1" s="1"/>
  <c r="H253" i="1"/>
  <c r="N253" i="1" s="1"/>
  <c r="H237" i="1"/>
  <c r="N237" i="1" s="1"/>
  <c r="H216" i="1"/>
  <c r="N216" i="1" s="1"/>
  <c r="H200" i="1"/>
  <c r="N200" i="1" s="1"/>
  <c r="H170" i="1"/>
  <c r="N170" i="1" s="1"/>
  <c r="H119" i="1"/>
  <c r="N119" i="1" s="1"/>
  <c r="H107" i="1"/>
  <c r="N107" i="1" s="1"/>
  <c r="H26" i="1"/>
  <c r="N26" i="1" s="1"/>
  <c r="H565" i="1"/>
  <c r="N565" i="1" s="1"/>
  <c r="H476" i="1"/>
  <c r="N476" i="1" s="1"/>
  <c r="H423" i="1"/>
  <c r="N423" i="1" s="1"/>
  <c r="H336" i="1"/>
  <c r="N336" i="1" s="1"/>
  <c r="H290" i="1"/>
  <c r="N290" i="1" s="1"/>
  <c r="H205" i="1"/>
  <c r="N205" i="1" s="1"/>
  <c r="H103" i="1"/>
  <c r="N103" i="1" s="1"/>
  <c r="H63" i="1"/>
  <c r="N63" i="1" s="1"/>
  <c r="H6" i="1"/>
  <c r="N6" i="1" s="1"/>
  <c r="H482" i="1"/>
  <c r="N482" i="1" s="1"/>
  <c r="H302" i="1"/>
  <c r="N302" i="1" s="1"/>
  <c r="H254" i="1"/>
  <c r="N254" i="1" s="1"/>
  <c r="H206" i="1"/>
  <c r="N206" i="1" s="1"/>
  <c r="H575" i="1"/>
  <c r="N575" i="1" s="1"/>
  <c r="H529" i="1"/>
  <c r="N529" i="1" s="1"/>
  <c r="H446" i="1"/>
  <c r="N446" i="1" s="1"/>
  <c r="H397" i="1"/>
  <c r="N397" i="1" s="1"/>
  <c r="H383" i="1"/>
  <c r="N383" i="1" s="1"/>
  <c r="H300" i="1"/>
  <c r="N300" i="1" s="1"/>
  <c r="H252" i="1"/>
  <c r="N252" i="1" s="1"/>
  <c r="H215" i="1"/>
  <c r="N215" i="1" s="1"/>
  <c r="H169" i="1"/>
  <c r="N169" i="1" s="1"/>
  <c r="H86" i="1"/>
  <c r="N86" i="1" s="1"/>
  <c r="H25" i="1"/>
  <c r="N25" i="1" s="1"/>
  <c r="H564" i="1"/>
  <c r="N564" i="1" s="1"/>
  <c r="H422" i="1"/>
  <c r="N422" i="1" s="1"/>
  <c r="H333" i="1"/>
  <c r="N333" i="1" s="1"/>
  <c r="H289" i="1"/>
  <c r="N289" i="1" s="1"/>
  <c r="H204" i="1"/>
  <c r="N204" i="1" s="1"/>
  <c r="H62" i="1"/>
  <c r="N62" i="1" s="1"/>
  <c r="H5" i="1"/>
  <c r="N5" i="1" s="1"/>
  <c r="H433" i="1"/>
  <c r="N433" i="1" s="1"/>
  <c r="H528" i="1"/>
  <c r="N528" i="1" s="1"/>
  <c r="H491" i="1"/>
  <c r="N491" i="1" s="1"/>
  <c r="H445" i="1"/>
  <c r="N445" i="1" s="1"/>
  <c r="H251" i="1"/>
  <c r="N251" i="1" s="1"/>
  <c r="H553" i="1"/>
  <c r="N553" i="1" s="1"/>
  <c r="H421" i="1"/>
  <c r="N421" i="1" s="1"/>
  <c r="H332" i="1"/>
  <c r="N332" i="1" s="1"/>
  <c r="H193" i="1"/>
  <c r="N193" i="1" s="1"/>
  <c r="H61" i="1"/>
  <c r="N61" i="1" s="1"/>
  <c r="H122" i="1"/>
  <c r="N122" i="1" s="1"/>
  <c r="H299" i="1"/>
  <c r="N299" i="1" s="1"/>
  <c r="H266" i="1"/>
  <c r="N266" i="1" s="1"/>
  <c r="H168" i="1"/>
  <c r="N168" i="1" s="1"/>
  <c r="H131" i="1"/>
  <c r="N131" i="1" s="1"/>
  <c r="H85" i="1"/>
  <c r="N85" i="1" s="1"/>
  <c r="H396" i="1"/>
  <c r="N396" i="1" s="1"/>
  <c r="H24" i="1"/>
  <c r="N24" i="1" s="1"/>
  <c r="H542" i="1"/>
  <c r="N542" i="1" s="1"/>
  <c r="H411" i="1"/>
  <c r="N411" i="1" s="1"/>
  <c r="H360" i="1"/>
  <c r="N360" i="1" s="1"/>
  <c r="H314" i="1"/>
  <c r="N314" i="1" s="1"/>
  <c r="H230" i="1"/>
  <c r="N230" i="1" s="1"/>
  <c r="H60" i="1"/>
  <c r="N60" i="1" s="1"/>
  <c r="H572" i="1"/>
  <c r="N572" i="1" s="1"/>
  <c r="H541" i="1"/>
  <c r="N541" i="1" s="1"/>
  <c r="H526" i="1"/>
  <c r="N526" i="1" s="1"/>
  <c r="H489" i="1"/>
  <c r="N489" i="1" s="1"/>
  <c r="H459" i="1"/>
  <c r="N459" i="1" s="1"/>
  <c r="H443" i="1"/>
  <c r="N443" i="1" s="1"/>
  <c r="H410" i="1"/>
  <c r="N410" i="1" s="1"/>
  <c r="H394" i="1"/>
  <c r="N394" i="1" s="1"/>
  <c r="H380" i="1"/>
  <c r="N380" i="1" s="1"/>
  <c r="H359" i="1"/>
  <c r="N359" i="1" s="1"/>
  <c r="H343" i="1"/>
  <c r="N343" i="1" s="1"/>
  <c r="H327" i="1"/>
  <c r="N327" i="1" s="1"/>
  <c r="H313" i="1"/>
  <c r="N313" i="1" s="1"/>
  <c r="H297" i="1"/>
  <c r="N297" i="1" s="1"/>
  <c r="H262" i="1"/>
  <c r="N262" i="1" s="1"/>
  <c r="H248" i="1"/>
  <c r="N248" i="1" s="1"/>
  <c r="H229" i="1"/>
  <c r="N229" i="1" s="1"/>
  <c r="H212" i="1"/>
  <c r="N212" i="1" s="1"/>
  <c r="H182" i="1"/>
  <c r="N182" i="1" s="1"/>
  <c r="H166" i="1"/>
  <c r="N166" i="1" s="1"/>
  <c r="H129" i="1"/>
  <c r="N129" i="1" s="1"/>
  <c r="H115" i="1"/>
  <c r="N115" i="1" s="1"/>
  <c r="H99" i="1"/>
  <c r="N99" i="1" s="1"/>
  <c r="H83" i="1"/>
  <c r="N83" i="1" s="1"/>
  <c r="H50" i="1"/>
  <c r="N50" i="1" s="1"/>
  <c r="H37" i="1"/>
  <c r="N37" i="1" s="1"/>
  <c r="H22" i="1"/>
  <c r="N22" i="1" s="1"/>
  <c r="H549" i="1"/>
  <c r="N549" i="1" s="1"/>
  <c r="H505" i="1"/>
  <c r="N505" i="1" s="1"/>
  <c r="H409" i="1"/>
  <c r="N409" i="1" s="1"/>
  <c r="H363" i="1"/>
  <c r="N363" i="1" s="1"/>
  <c r="H317" i="1"/>
  <c r="N317" i="1" s="1"/>
  <c r="H277" i="1"/>
  <c r="N277" i="1" s="1"/>
  <c r="H231" i="1"/>
  <c r="N231" i="1" s="1"/>
  <c r="H177" i="1"/>
  <c r="N177" i="1" s="1"/>
  <c r="H145" i="1"/>
  <c r="N145" i="1" s="1"/>
  <c r="H89" i="1"/>
  <c r="N89" i="1" s="1"/>
  <c r="H49" i="1"/>
  <c r="N49" i="1" s="1"/>
  <c r="H490" i="1"/>
  <c r="N490" i="1" s="1"/>
  <c r="H444" i="1"/>
  <c r="N444" i="1" s="1"/>
  <c r="H395" i="1"/>
  <c r="N395" i="1" s="1"/>
  <c r="H344" i="1"/>
  <c r="N344" i="1" s="1"/>
  <c r="H298" i="1"/>
  <c r="N298" i="1" s="1"/>
  <c r="H250" i="1"/>
  <c r="N250" i="1" s="1"/>
  <c r="H183" i="1"/>
  <c r="N183" i="1" s="1"/>
  <c r="H84" i="1"/>
  <c r="N84" i="1" s="1"/>
  <c r="H38" i="1"/>
  <c r="N38" i="1" s="1"/>
  <c r="H552" i="1"/>
  <c r="N552" i="1" s="1"/>
  <c r="H420" i="1"/>
  <c r="N420" i="1" s="1"/>
  <c r="H192" i="1"/>
  <c r="N192" i="1" s="1"/>
  <c r="H571" i="1"/>
  <c r="N571" i="1" s="1"/>
  <c r="H555" i="1"/>
  <c r="N555" i="1" s="1"/>
  <c r="H540" i="1"/>
  <c r="N540" i="1" s="1"/>
  <c r="H525" i="1"/>
  <c r="N525" i="1" s="1"/>
  <c r="H504" i="1"/>
  <c r="N504" i="1" s="1"/>
  <c r="H488" i="1"/>
  <c r="N488" i="1" s="1"/>
  <c r="H458" i="1"/>
  <c r="N458" i="1" s="1"/>
  <c r="H442" i="1"/>
  <c r="N442" i="1" s="1"/>
  <c r="H407" i="1"/>
  <c r="N407" i="1" s="1"/>
  <c r="H393" i="1"/>
  <c r="N393" i="1" s="1"/>
  <c r="H379" i="1"/>
  <c r="N379" i="1" s="1"/>
  <c r="H358" i="1"/>
  <c r="N358" i="1" s="1"/>
  <c r="H326" i="1"/>
  <c r="N326" i="1" s="1"/>
  <c r="H312" i="1"/>
  <c r="N312" i="1" s="1"/>
  <c r="H296" i="1"/>
  <c r="N296" i="1" s="1"/>
  <c r="H275" i="1"/>
  <c r="N275" i="1" s="1"/>
  <c r="H261" i="1"/>
  <c r="N261" i="1" s="1"/>
  <c r="H228" i="1"/>
  <c r="N228" i="1" s="1"/>
  <c r="H211" i="1"/>
  <c r="N211" i="1" s="1"/>
  <c r="H195" i="1"/>
  <c r="N195" i="1" s="1"/>
  <c r="H181" i="1"/>
  <c r="N181" i="1" s="1"/>
  <c r="H165" i="1"/>
  <c r="N165" i="1" s="1"/>
  <c r="H144" i="1"/>
  <c r="N144" i="1" s="1"/>
  <c r="H128" i="1"/>
  <c r="N128" i="1" s="1"/>
  <c r="H98" i="1"/>
  <c r="N98" i="1" s="1"/>
  <c r="H82" i="1"/>
  <c r="N82" i="1" s="1"/>
  <c r="H48" i="1"/>
  <c r="N48" i="1" s="1"/>
  <c r="H36" i="1"/>
  <c r="N36" i="1" s="1"/>
  <c r="H21" i="1"/>
  <c r="N21" i="1" s="1"/>
  <c r="H14" i="1"/>
  <c r="N14" i="1" s="1"/>
  <c r="H535" i="1"/>
  <c r="N535" i="1" s="1"/>
  <c r="H495" i="1"/>
  <c r="N495" i="1" s="1"/>
  <c r="H448" i="1"/>
  <c r="N448" i="1" s="1"/>
  <c r="H408" i="1"/>
  <c r="N408" i="1" s="1"/>
  <c r="H362" i="1"/>
  <c r="N362" i="1" s="1"/>
  <c r="H306" i="1"/>
  <c r="N306" i="1" s="1"/>
  <c r="H276" i="1"/>
  <c r="N276" i="1" s="1"/>
  <c r="H221" i="1"/>
  <c r="N221" i="1" s="1"/>
  <c r="H176" i="1"/>
  <c r="N176" i="1" s="1"/>
  <c r="H135" i="1"/>
  <c r="N135" i="1" s="1"/>
  <c r="H88" i="1"/>
  <c r="N88" i="1" s="1"/>
  <c r="H30" i="1"/>
  <c r="N30" i="1" s="1"/>
  <c r="H573" i="1"/>
  <c r="N573" i="1" s="1"/>
  <c r="H527" i="1"/>
  <c r="N527" i="1" s="1"/>
  <c r="H381" i="1"/>
  <c r="N381" i="1" s="1"/>
  <c r="H263" i="1"/>
  <c r="N263" i="1" s="1"/>
  <c r="H213" i="1"/>
  <c r="N213" i="1" s="1"/>
  <c r="H167" i="1"/>
  <c r="N167" i="1" s="1"/>
  <c r="H116" i="1"/>
  <c r="N116" i="1" s="1"/>
  <c r="H23" i="1"/>
  <c r="N23" i="1" s="1"/>
  <c r="H506" i="1"/>
  <c r="N506" i="1" s="1"/>
  <c r="H278" i="1"/>
  <c r="N278" i="1" s="1"/>
  <c r="H146" i="1"/>
  <c r="N146" i="1" s="1"/>
  <c r="H554" i="1"/>
  <c r="N554" i="1" s="1"/>
  <c r="H539" i="1"/>
  <c r="N539" i="1" s="1"/>
  <c r="H524" i="1"/>
  <c r="N524" i="1" s="1"/>
  <c r="H503" i="1"/>
  <c r="N503" i="1" s="1"/>
  <c r="H487" i="1"/>
  <c r="N487" i="1" s="1"/>
  <c r="H471" i="1"/>
  <c r="N471" i="1" s="1"/>
  <c r="H457" i="1"/>
  <c r="N457" i="1" s="1"/>
  <c r="H441" i="1"/>
  <c r="N441" i="1" s="1"/>
  <c r="H406" i="1"/>
  <c r="N406" i="1" s="1"/>
  <c r="H392" i="1"/>
  <c r="N392" i="1" s="1"/>
  <c r="H374" i="1"/>
  <c r="N374" i="1" s="1"/>
  <c r="H357" i="1"/>
  <c r="N357" i="1" s="1"/>
  <c r="H325" i="1"/>
  <c r="N325" i="1" s="1"/>
  <c r="H311" i="1"/>
  <c r="N311" i="1" s="1"/>
  <c r="H295" i="1"/>
  <c r="N295" i="1" s="1"/>
  <c r="H274" i="1"/>
  <c r="N274" i="1" s="1"/>
  <c r="H259" i="1"/>
  <c r="N259" i="1" s="1"/>
  <c r="H243" i="1"/>
  <c r="N243" i="1" s="1"/>
  <c r="H227" i="1"/>
  <c r="N227" i="1" s="1"/>
  <c r="H194" i="1"/>
  <c r="N194" i="1" s="1"/>
  <c r="H180" i="1"/>
  <c r="N180" i="1" s="1"/>
  <c r="H164" i="1"/>
  <c r="N164" i="1" s="1"/>
  <c r="H143" i="1"/>
  <c r="N143" i="1" s="1"/>
  <c r="H127" i="1"/>
  <c r="N127" i="1" s="1"/>
  <c r="H97" i="1"/>
  <c r="N97" i="1" s="1"/>
  <c r="H81" i="1"/>
  <c r="N81" i="1" s="1"/>
  <c r="H47" i="1"/>
  <c r="N47" i="1" s="1"/>
  <c r="H35" i="1"/>
  <c r="N35" i="1" s="1"/>
  <c r="H20" i="1"/>
  <c r="N20" i="1" s="1"/>
  <c r="H13" i="1"/>
  <c r="N13" i="1" s="1"/>
  <c r="H534" i="1"/>
  <c r="N534" i="1" s="1"/>
  <c r="H494" i="1"/>
  <c r="N494" i="1" s="1"/>
  <c r="H447" i="1"/>
  <c r="N447" i="1" s="1"/>
  <c r="H405" i="1"/>
  <c r="N405" i="1" s="1"/>
  <c r="H361" i="1"/>
  <c r="N361" i="1" s="1"/>
  <c r="H305" i="1"/>
  <c r="N305" i="1" s="1"/>
  <c r="H265" i="1"/>
  <c r="N265" i="1" s="1"/>
  <c r="H220" i="1"/>
  <c r="N220" i="1" s="1"/>
  <c r="H174" i="1"/>
  <c r="N174" i="1" s="1"/>
  <c r="H134" i="1"/>
  <c r="N134" i="1" s="1"/>
  <c r="H87" i="1"/>
  <c r="N87" i="1" s="1"/>
  <c r="H29" i="1"/>
  <c r="N29" i="1" s="1"/>
  <c r="M2" i="1"/>
  <c r="H2" i="1"/>
  <c r="N2" i="1" s="1"/>
  <c r="B42" i="2" l="1"/>
  <c r="D40" i="2"/>
  <c r="B43" i="2" l="1"/>
  <c r="D43" i="2" s="1"/>
  <c r="D42" i="2"/>
  <c r="B44" i="2" l="1"/>
  <c r="D44" i="2" s="1"/>
</calcChain>
</file>

<file path=xl/sharedStrings.xml><?xml version="1.0" encoding="utf-8"?>
<sst xmlns="http://schemas.openxmlformats.org/spreadsheetml/2006/main" count="627" uniqueCount="594">
  <si>
    <t>自然曝光</t>
  </si>
  <si>
    <t>自然曝光</t>
    <phoneticPr fontId="2" type="noConversion"/>
  </si>
  <si>
    <t>计划id</t>
  </si>
  <si>
    <t>广告曝光</t>
  </si>
  <si>
    <t>广告点击</t>
  </si>
  <si>
    <t>目标ROI</t>
  </si>
  <si>
    <t>92091141</t>
  </si>
  <si>
    <t>10812773</t>
  </si>
  <si>
    <t>01102200</t>
  </si>
  <si>
    <t>01401063</t>
  </si>
  <si>
    <t>68521317</t>
  </si>
  <si>
    <t>94423414</t>
  </si>
  <si>
    <t>68904885</t>
  </si>
  <si>
    <t>91189711</t>
  </si>
  <si>
    <t>92372754</t>
  </si>
  <si>
    <t>90116028</t>
  </si>
  <si>
    <t>93524487</t>
  </si>
  <si>
    <t>61978262</t>
  </si>
  <si>
    <t>72024765</t>
  </si>
  <si>
    <t>71130493</t>
  </si>
  <si>
    <t>00101802</t>
  </si>
  <si>
    <t>00101310</t>
  </si>
  <si>
    <t>94418342</t>
  </si>
  <si>
    <t>31401281</t>
  </si>
  <si>
    <t>64179380</t>
  </si>
  <si>
    <t>93985469</t>
  </si>
  <si>
    <t>90554997</t>
  </si>
  <si>
    <t>92148408</t>
  </si>
  <si>
    <t>60101054</t>
  </si>
  <si>
    <t>90581753</t>
  </si>
  <si>
    <t>66344185</t>
  </si>
  <si>
    <t>93384592</t>
  </si>
  <si>
    <t>60346305</t>
  </si>
  <si>
    <t>94423378</t>
  </si>
  <si>
    <t>90568213</t>
  </si>
  <si>
    <t>69234646</t>
  </si>
  <si>
    <t>90644094</t>
  </si>
  <si>
    <t>02001011</t>
  </si>
  <si>
    <t>64347346</t>
  </si>
  <si>
    <t>10085035</t>
  </si>
  <si>
    <t>60676997</t>
  </si>
  <si>
    <t>90909746</t>
  </si>
  <si>
    <t>67177567</t>
  </si>
  <si>
    <t>68161675</t>
  </si>
  <si>
    <t>60434471</t>
  </si>
  <si>
    <t>02003076</t>
  </si>
  <si>
    <t>93391840</t>
  </si>
  <si>
    <t>90281095</t>
  </si>
  <si>
    <t>91633372</t>
  </si>
  <si>
    <t>32501114</t>
  </si>
  <si>
    <t>40101615</t>
  </si>
  <si>
    <t>01411007</t>
  </si>
  <si>
    <t>92752935</t>
  </si>
  <si>
    <t>42003306</t>
  </si>
  <si>
    <t>60273244</t>
  </si>
  <si>
    <t>93415891</t>
  </si>
  <si>
    <t>72946786</t>
  </si>
  <si>
    <t>65221404</t>
  </si>
  <si>
    <t>93273202</t>
  </si>
  <si>
    <t>92346427</t>
  </si>
  <si>
    <t>90920160</t>
  </si>
  <si>
    <t>90967596</t>
  </si>
  <si>
    <t>63904514</t>
  </si>
  <si>
    <t>93474600</t>
  </si>
  <si>
    <t>94418905</t>
  </si>
  <si>
    <t>92408119</t>
  </si>
  <si>
    <t>02001800</t>
  </si>
  <si>
    <t>63455920</t>
  </si>
  <si>
    <t>32301292</t>
  </si>
  <si>
    <t>94429434</t>
  </si>
  <si>
    <t>60975124</t>
  </si>
  <si>
    <t>90996674</t>
  </si>
  <si>
    <t>69457720</t>
  </si>
  <si>
    <t>60101465</t>
  </si>
  <si>
    <t>00902012</t>
  </si>
  <si>
    <t>11741757</t>
  </si>
  <si>
    <t>90090773</t>
  </si>
  <si>
    <t>65432093</t>
  </si>
  <si>
    <t>64382513</t>
  </si>
  <si>
    <t>70490522</t>
  </si>
  <si>
    <t>90041008</t>
  </si>
  <si>
    <t>64194798</t>
  </si>
  <si>
    <t>66891712</t>
  </si>
  <si>
    <t>22003042</t>
  </si>
  <si>
    <t>22001177</t>
  </si>
  <si>
    <t>90731319</t>
  </si>
  <si>
    <t>60370577</t>
  </si>
  <si>
    <t>92564478</t>
  </si>
  <si>
    <t>64071324</t>
  </si>
  <si>
    <t>92105652</t>
  </si>
  <si>
    <t>92170842</t>
  </si>
  <si>
    <t>72007307</t>
  </si>
  <si>
    <t>32001495</t>
  </si>
  <si>
    <t>92035692</t>
  </si>
  <si>
    <t>66561236</t>
  </si>
  <si>
    <t>11508814</t>
  </si>
  <si>
    <t>72947172</t>
  </si>
  <si>
    <t>91667378</t>
  </si>
  <si>
    <t>90639797</t>
  </si>
  <si>
    <t>60262687</t>
  </si>
  <si>
    <t>70798119</t>
  </si>
  <si>
    <t>69017831</t>
  </si>
  <si>
    <t>72185011</t>
  </si>
  <si>
    <t>69422583</t>
  </si>
  <si>
    <t>41201346</t>
  </si>
  <si>
    <t>61371587</t>
  </si>
  <si>
    <t>94423691</t>
  </si>
  <si>
    <t>93389468</t>
  </si>
  <si>
    <t>91089850</t>
  </si>
  <si>
    <t>70642856</t>
  </si>
  <si>
    <t>11162969</t>
  </si>
  <si>
    <t>91246955</t>
  </si>
  <si>
    <t>94422864</t>
  </si>
  <si>
    <t>92771540</t>
  </si>
  <si>
    <t>69319657</t>
  </si>
  <si>
    <t>10192715</t>
  </si>
  <si>
    <t>12503013</t>
  </si>
  <si>
    <t>70275325</t>
  </si>
  <si>
    <t>91189443</t>
  </si>
  <si>
    <t>64105377</t>
  </si>
  <si>
    <t>64194379</t>
  </si>
  <si>
    <t>60939825</t>
  </si>
  <si>
    <t>93614049</t>
  </si>
  <si>
    <t>01102344</t>
  </si>
  <si>
    <t>64071637</t>
  </si>
  <si>
    <t>11580604</t>
  </si>
  <si>
    <t>92150268</t>
  </si>
  <si>
    <t>72200648</t>
  </si>
  <si>
    <t>94419743</t>
  </si>
  <si>
    <t>91191047</t>
  </si>
  <si>
    <t>92315718</t>
  </si>
  <si>
    <t>02005016</t>
  </si>
  <si>
    <t>94010391</t>
  </si>
  <si>
    <t>91191784</t>
  </si>
  <si>
    <t>64878465</t>
  </si>
  <si>
    <t>70799084</t>
  </si>
  <si>
    <t>90662258</t>
  </si>
  <si>
    <t>63581546</t>
  </si>
  <si>
    <t>66006622</t>
  </si>
  <si>
    <t>64371421</t>
  </si>
  <si>
    <t>90036243</t>
  </si>
  <si>
    <t>67522440</t>
  </si>
  <si>
    <t>63467199</t>
  </si>
  <si>
    <t>90918736</t>
  </si>
  <si>
    <t>90254029</t>
  </si>
  <si>
    <t>11151327</t>
  </si>
  <si>
    <t>66032767</t>
  </si>
  <si>
    <t>69235716</t>
  </si>
  <si>
    <t>90847171</t>
  </si>
  <si>
    <t>93365808</t>
  </si>
  <si>
    <t>61301518</t>
  </si>
  <si>
    <t>91022984</t>
  </si>
  <si>
    <t>11768192</t>
  </si>
  <si>
    <t>91328858</t>
  </si>
  <si>
    <t>68917520</t>
  </si>
  <si>
    <t>94422013</t>
  </si>
  <si>
    <t>92738443</t>
  </si>
  <si>
    <t>91634425</t>
  </si>
  <si>
    <t>72364131</t>
  </si>
  <si>
    <t>10568077</t>
  </si>
  <si>
    <t>11780290</t>
  </si>
  <si>
    <t>60926273</t>
  </si>
  <si>
    <t>63829318</t>
  </si>
  <si>
    <t>94220242</t>
  </si>
  <si>
    <t>93100056</t>
  </si>
  <si>
    <t>93291735</t>
  </si>
  <si>
    <t>93460262</t>
  </si>
  <si>
    <t>61491307</t>
  </si>
  <si>
    <t>67477596</t>
  </si>
  <si>
    <t>71671430</t>
  </si>
  <si>
    <t>63855815</t>
  </si>
  <si>
    <t>90685562</t>
  </si>
  <si>
    <t>42401047</t>
  </si>
  <si>
    <t>13912061</t>
  </si>
  <si>
    <t>90587969</t>
  </si>
  <si>
    <t>93066317</t>
  </si>
  <si>
    <t>94038496</t>
  </si>
  <si>
    <t>10741764</t>
  </si>
  <si>
    <t>63342939</t>
  </si>
  <si>
    <t>71527250</t>
  </si>
  <si>
    <t>68433442</t>
  </si>
  <si>
    <t>10551393</t>
  </si>
  <si>
    <t>90246040</t>
  </si>
  <si>
    <t>92560772</t>
  </si>
  <si>
    <t>41201209</t>
  </si>
  <si>
    <t>92367197</t>
  </si>
  <si>
    <t>01901324</t>
  </si>
  <si>
    <t>92955208</t>
  </si>
  <si>
    <t>61237931</t>
  </si>
  <si>
    <t>64116361</t>
  </si>
  <si>
    <t>65295890</t>
  </si>
  <si>
    <t>91170533</t>
  </si>
  <si>
    <t>41701130</t>
  </si>
  <si>
    <t>90954764</t>
  </si>
  <si>
    <t>71962954</t>
  </si>
  <si>
    <t>64994665</t>
  </si>
  <si>
    <t>02040004</t>
  </si>
  <si>
    <t>10433547</t>
  </si>
  <si>
    <t>01403100</t>
  </si>
  <si>
    <t>92185864</t>
  </si>
  <si>
    <t>92176026</t>
  </si>
  <si>
    <t>94048088</t>
  </si>
  <si>
    <t>90794129</t>
  </si>
  <si>
    <t>70775376</t>
  </si>
  <si>
    <t>94282421</t>
  </si>
  <si>
    <t>94429379</t>
  </si>
  <si>
    <t>11330744</t>
  </si>
  <si>
    <t>70101337</t>
  </si>
  <si>
    <t>90956353</t>
  </si>
  <si>
    <t>90738653</t>
  </si>
  <si>
    <t>90573369</t>
  </si>
  <si>
    <t>92264218</t>
  </si>
  <si>
    <t>61139780</t>
  </si>
  <si>
    <t>94405081</t>
  </si>
  <si>
    <t>90068730</t>
  </si>
  <si>
    <t>63581576</t>
  </si>
  <si>
    <t>11031060</t>
  </si>
  <si>
    <t>70435906</t>
  </si>
  <si>
    <t>68132863</t>
  </si>
  <si>
    <t>92186672</t>
  </si>
  <si>
    <t>93552025</t>
  </si>
  <si>
    <t>60111772</t>
  </si>
  <si>
    <t>92083205</t>
  </si>
  <si>
    <t>65772213</t>
  </si>
  <si>
    <t>93006125</t>
  </si>
  <si>
    <t>71672247</t>
  </si>
  <si>
    <t>91622661</t>
  </si>
  <si>
    <t>71155935</t>
  </si>
  <si>
    <t>92488799</t>
  </si>
  <si>
    <t>92788073</t>
  </si>
  <si>
    <t>64701931</t>
  </si>
  <si>
    <t>61413301</t>
  </si>
  <si>
    <t>93675827</t>
  </si>
  <si>
    <t>60898001</t>
  </si>
  <si>
    <t>92342170</t>
  </si>
  <si>
    <t>90883265</t>
  </si>
  <si>
    <t>70612717</t>
  </si>
  <si>
    <t>64672876</t>
  </si>
  <si>
    <t>41409014</t>
  </si>
  <si>
    <t>71892764</t>
  </si>
  <si>
    <t>92566060</t>
  </si>
  <si>
    <t>94422112</t>
  </si>
  <si>
    <t>63595196</t>
  </si>
  <si>
    <t>64382023</t>
  </si>
  <si>
    <t>64686000</t>
  </si>
  <si>
    <t>64759607</t>
  </si>
  <si>
    <t>65552371</t>
  </si>
  <si>
    <t>67167299</t>
  </si>
  <si>
    <t>67299610</t>
  </si>
  <si>
    <t>68491645</t>
  </si>
  <si>
    <t>68602265</t>
  </si>
  <si>
    <t>68778119</t>
  </si>
  <si>
    <t>68809624</t>
  </si>
  <si>
    <t>68824004</t>
  </si>
  <si>
    <t>69004428</t>
  </si>
  <si>
    <t>69388754</t>
  </si>
  <si>
    <t>70267112</t>
  </si>
  <si>
    <t>70491762</t>
  </si>
  <si>
    <t>70633085</t>
  </si>
  <si>
    <t>70735581</t>
  </si>
  <si>
    <t>71940134</t>
  </si>
  <si>
    <t>72534191</t>
  </si>
  <si>
    <t>72551460</t>
  </si>
  <si>
    <t>72639181</t>
  </si>
  <si>
    <t>90257847</t>
  </si>
  <si>
    <t>90264524</t>
  </si>
  <si>
    <t>90380543</t>
  </si>
  <si>
    <t>90579525</t>
  </si>
  <si>
    <t>90646346</t>
  </si>
  <si>
    <t>90706023</t>
  </si>
  <si>
    <t>90817259</t>
  </si>
  <si>
    <t>90831160</t>
  </si>
  <si>
    <t>90874098</t>
  </si>
  <si>
    <t>90935359</t>
  </si>
  <si>
    <t>91849280</t>
  </si>
  <si>
    <t>91947204</t>
  </si>
  <si>
    <t>91959957</t>
  </si>
  <si>
    <t>92097444</t>
  </si>
  <si>
    <t>92183276</t>
  </si>
  <si>
    <t>92192482</t>
  </si>
  <si>
    <t>92201288</t>
  </si>
  <si>
    <t>92324777</t>
  </si>
  <si>
    <t>92326930</t>
  </si>
  <si>
    <t>92331614</t>
  </si>
  <si>
    <t>92450191</t>
  </si>
  <si>
    <t>92524491</t>
  </si>
  <si>
    <t>92565003</t>
  </si>
  <si>
    <t>92698338</t>
  </si>
  <si>
    <t>92777122</t>
  </si>
  <si>
    <t>92786521</t>
  </si>
  <si>
    <t>93123889</t>
  </si>
  <si>
    <t>93272007</t>
  </si>
  <si>
    <t>93397315</t>
  </si>
  <si>
    <t>93634471</t>
  </si>
  <si>
    <t>93942886</t>
  </si>
  <si>
    <t>94288548</t>
  </si>
  <si>
    <t>94405246</t>
  </si>
  <si>
    <t>94419006</t>
  </si>
  <si>
    <t>94421569</t>
  </si>
  <si>
    <t>94429062</t>
  </si>
  <si>
    <t>00101401</t>
  </si>
  <si>
    <t>00101437</t>
  </si>
  <si>
    <t>00101844</t>
  </si>
  <si>
    <t>00301013</t>
  </si>
  <si>
    <t>00501036</t>
  </si>
  <si>
    <t>00513043</t>
  </si>
  <si>
    <t>00712007</t>
  </si>
  <si>
    <t>00712050</t>
  </si>
  <si>
    <t>00802309</t>
  </si>
  <si>
    <t>00802379</t>
  </si>
  <si>
    <t>01102160</t>
  </si>
  <si>
    <t>01116041</t>
  </si>
  <si>
    <t>01202091</t>
  </si>
  <si>
    <t>01206002</t>
  </si>
  <si>
    <t>01224018</t>
  </si>
  <si>
    <t>01270412</t>
  </si>
  <si>
    <t>01293039</t>
  </si>
  <si>
    <t>01404043</t>
  </si>
  <si>
    <t>01501006</t>
  </si>
  <si>
    <t>01509012</t>
  </si>
  <si>
    <t>01512036</t>
  </si>
  <si>
    <t>01515005</t>
  </si>
  <si>
    <t>01521016</t>
  </si>
  <si>
    <t>01601018</t>
  </si>
  <si>
    <t>01602530</t>
  </si>
  <si>
    <t>01713004</t>
  </si>
  <si>
    <t>01918050</t>
  </si>
  <si>
    <t>02001103</t>
  </si>
  <si>
    <t>02001941</t>
  </si>
  <si>
    <t>02002018</t>
  </si>
  <si>
    <t>02003319</t>
  </si>
  <si>
    <t>02003990</t>
  </si>
  <si>
    <t>02007110</t>
  </si>
  <si>
    <t>02103119</t>
  </si>
  <si>
    <t>02104006</t>
  </si>
  <si>
    <t>02105016</t>
  </si>
  <si>
    <t>02107002</t>
  </si>
  <si>
    <t>02202423</t>
  </si>
  <si>
    <t>02301004</t>
  </si>
  <si>
    <t>02301206</t>
  </si>
  <si>
    <t>02301656</t>
  </si>
  <si>
    <t>02301830</t>
  </si>
  <si>
    <t>02312011</t>
  </si>
  <si>
    <t>02404001</t>
  </si>
  <si>
    <t>02408012</t>
  </si>
  <si>
    <t>02501117</t>
  </si>
  <si>
    <t>02501209</t>
  </si>
  <si>
    <t>02501267</t>
  </si>
  <si>
    <t>02503707</t>
  </si>
  <si>
    <t>02505065</t>
  </si>
  <si>
    <t>02505465</t>
  </si>
  <si>
    <t>02507159</t>
  </si>
  <si>
    <t>02518020</t>
  </si>
  <si>
    <t>02529005</t>
  </si>
  <si>
    <t>02603037</t>
  </si>
  <si>
    <t>02707021</t>
  </si>
  <si>
    <t>02901169</t>
  </si>
  <si>
    <t>10007045</t>
  </si>
  <si>
    <t>10019601</t>
  </si>
  <si>
    <t>10020989</t>
  </si>
  <si>
    <t>10067342</t>
  </si>
  <si>
    <t>10068341</t>
  </si>
  <si>
    <t>10097843</t>
  </si>
  <si>
    <t>10101621</t>
  </si>
  <si>
    <t>10101794</t>
  </si>
  <si>
    <t>10101957</t>
  </si>
  <si>
    <t>10102202</t>
  </si>
  <si>
    <t>10142285</t>
  </si>
  <si>
    <t>10212978</t>
  </si>
  <si>
    <t>10216512</t>
  </si>
  <si>
    <t>10219009</t>
  </si>
  <si>
    <t>10232645</t>
  </si>
  <si>
    <t>10319569</t>
  </si>
  <si>
    <t>10322221</t>
  </si>
  <si>
    <t>10329400</t>
  </si>
  <si>
    <t>10347630</t>
  </si>
  <si>
    <t>10355863</t>
  </si>
  <si>
    <t>10504897</t>
  </si>
  <si>
    <t>10569140</t>
  </si>
  <si>
    <t>10576067</t>
  </si>
  <si>
    <t>10618216</t>
  </si>
  <si>
    <t>10619297</t>
  </si>
  <si>
    <t>10723164</t>
  </si>
  <si>
    <t>10760547</t>
  </si>
  <si>
    <t>10763748</t>
  </si>
  <si>
    <t>10819010</t>
  </si>
  <si>
    <t>10906331</t>
  </si>
  <si>
    <t>10967273</t>
  </si>
  <si>
    <t>10968613</t>
  </si>
  <si>
    <t>10972424</t>
  </si>
  <si>
    <t>11000074</t>
  </si>
  <si>
    <t>11031130</t>
  </si>
  <si>
    <t>11047396</t>
  </si>
  <si>
    <t>11048701</t>
  </si>
  <si>
    <t>11054987</t>
  </si>
  <si>
    <t>11061882</t>
  </si>
  <si>
    <t>11129063</t>
  </si>
  <si>
    <t>11169042</t>
  </si>
  <si>
    <t>11192432</t>
  </si>
  <si>
    <t>11192860</t>
  </si>
  <si>
    <t>11195848</t>
  </si>
  <si>
    <t>11209038</t>
  </si>
  <si>
    <t>11215524</t>
  </si>
  <si>
    <t>11247620</t>
  </si>
  <si>
    <t>11318022</t>
  </si>
  <si>
    <t>11401070</t>
  </si>
  <si>
    <t>11406001</t>
  </si>
  <si>
    <t>11416395</t>
  </si>
  <si>
    <t>11455017</t>
  </si>
  <si>
    <t>11488437</t>
  </si>
  <si>
    <t>11515508</t>
  </si>
  <si>
    <t>11608607</t>
  </si>
  <si>
    <t>11686966</t>
  </si>
  <si>
    <t>11718231</t>
  </si>
  <si>
    <t>11721799</t>
  </si>
  <si>
    <t>20101523</t>
  </si>
  <si>
    <t>20101582</t>
  </si>
  <si>
    <t>20714001</t>
  </si>
  <si>
    <t>21109016</t>
  </si>
  <si>
    <t>21201100</t>
  </si>
  <si>
    <t>21288032</t>
  </si>
  <si>
    <t>22001098</t>
  </si>
  <si>
    <t>22003193</t>
  </si>
  <si>
    <t>22105001</t>
  </si>
  <si>
    <t>22301059</t>
  </si>
  <si>
    <t>22702008</t>
  </si>
  <si>
    <t>23101059</t>
  </si>
  <si>
    <t>30401143</t>
  </si>
  <si>
    <t>30713004</t>
  </si>
  <si>
    <t>31103066</t>
  </si>
  <si>
    <t>31201917</t>
  </si>
  <si>
    <t>31201925</t>
  </si>
  <si>
    <t>31205005</t>
  </si>
  <si>
    <t>31213032</t>
  </si>
  <si>
    <t>31238002</t>
  </si>
  <si>
    <t>31508026</t>
  </si>
  <si>
    <t>31603013</t>
  </si>
  <si>
    <t>31608006</t>
  </si>
  <si>
    <t>31656001</t>
  </si>
  <si>
    <t>32001519</t>
  </si>
  <si>
    <t>32007040</t>
  </si>
  <si>
    <t>32011048</t>
  </si>
  <si>
    <t>32020011</t>
  </si>
  <si>
    <t>32103025</t>
  </si>
  <si>
    <t>32301054</t>
  </si>
  <si>
    <t>32301609</t>
  </si>
  <si>
    <t>32701375</t>
  </si>
  <si>
    <t>32901006</t>
  </si>
  <si>
    <t>40101019</t>
  </si>
  <si>
    <t>40802038</t>
  </si>
  <si>
    <t>41001005</t>
  </si>
  <si>
    <t>41117005</t>
  </si>
  <si>
    <t>41204013</t>
  </si>
  <si>
    <t>41207024</t>
  </si>
  <si>
    <t>41233004</t>
  </si>
  <si>
    <t>41401041</t>
  </si>
  <si>
    <t>41401171</t>
  </si>
  <si>
    <t>41604034</t>
  </si>
  <si>
    <t>41613010</t>
  </si>
  <si>
    <t>60417488</t>
  </si>
  <si>
    <t>60418216</t>
  </si>
  <si>
    <t>60431955</t>
  </si>
  <si>
    <t>60432847</t>
  </si>
  <si>
    <t>60474368</t>
  </si>
  <si>
    <t>60476576</t>
  </si>
  <si>
    <t>60479385</t>
  </si>
  <si>
    <t>60496831</t>
  </si>
  <si>
    <t>60530347</t>
  </si>
  <si>
    <t>60532412</t>
  </si>
  <si>
    <t>60559631</t>
  </si>
  <si>
    <t>60676242</t>
  </si>
  <si>
    <t>60694921</t>
  </si>
  <si>
    <t>60772966</t>
  </si>
  <si>
    <t>60785011</t>
  </si>
  <si>
    <t>60814960</t>
  </si>
  <si>
    <t>60817068</t>
  </si>
  <si>
    <t>60822283</t>
  </si>
  <si>
    <t>60861607</t>
  </si>
  <si>
    <t>60868539</t>
  </si>
  <si>
    <t>60868986</t>
  </si>
  <si>
    <t>60886738</t>
  </si>
  <si>
    <t>60914722</t>
  </si>
  <si>
    <t>60916591</t>
  </si>
  <si>
    <t>60924528</t>
  </si>
  <si>
    <t>60925729</t>
  </si>
  <si>
    <t>60941168</t>
  </si>
  <si>
    <t>60965001</t>
  </si>
  <si>
    <t>60975116</t>
  </si>
  <si>
    <t>61027836</t>
  </si>
  <si>
    <t>61139779</t>
  </si>
  <si>
    <t>61189896</t>
  </si>
  <si>
    <t>61221238</t>
  </si>
  <si>
    <t>61252040</t>
  </si>
  <si>
    <t>61303941</t>
  </si>
  <si>
    <t>61319570</t>
  </si>
  <si>
    <t>61337080</t>
  </si>
  <si>
    <t>61354403</t>
  </si>
  <si>
    <t>61365097</t>
  </si>
  <si>
    <t>61370353</t>
  </si>
  <si>
    <t>61371557</t>
  </si>
  <si>
    <t>61372914</t>
  </si>
  <si>
    <t>61390558</t>
  </si>
  <si>
    <t>61400048</t>
  </si>
  <si>
    <t>61401016</t>
  </si>
  <si>
    <t>61413130</t>
  </si>
  <si>
    <t>61465619</t>
  </si>
  <si>
    <t>61469696</t>
  </si>
  <si>
    <t>61469796</t>
  </si>
  <si>
    <t>61470205</t>
  </si>
  <si>
    <t>61470634</t>
  </si>
  <si>
    <t>61522327</t>
  </si>
  <si>
    <t>61621694</t>
  </si>
  <si>
    <t>61626758</t>
  </si>
  <si>
    <t>61627210</t>
  </si>
  <si>
    <t>61733997</t>
  </si>
  <si>
    <t>61736381</t>
  </si>
  <si>
    <t>61760190</t>
  </si>
  <si>
    <t>62675443</t>
  </si>
  <si>
    <t>62714881</t>
  </si>
  <si>
    <t>63328252</t>
  </si>
  <si>
    <t>63328477</t>
  </si>
  <si>
    <t>63353194</t>
  </si>
  <si>
    <t>63380628</t>
  </si>
  <si>
    <t>63427566</t>
  </si>
  <si>
    <t>63427864</t>
  </si>
  <si>
    <t>63442235</t>
  </si>
  <si>
    <t>63443751</t>
  </si>
  <si>
    <t>63476583</t>
  </si>
  <si>
    <t>63488353</t>
  </si>
  <si>
    <t>63554724</t>
  </si>
  <si>
    <t>63581569</t>
  </si>
  <si>
    <t>63582229</t>
  </si>
  <si>
    <t>63595379</t>
  </si>
  <si>
    <t>63596074</t>
  </si>
  <si>
    <t>63633934</t>
  </si>
  <si>
    <t>63674262</t>
  </si>
  <si>
    <t>63677033</t>
  </si>
  <si>
    <t>63755552</t>
  </si>
  <si>
    <t>63757550</t>
  </si>
  <si>
    <t>63763015</t>
  </si>
  <si>
    <t>63763781</t>
  </si>
  <si>
    <t>90818510</t>
  </si>
  <si>
    <t>61790085</t>
  </si>
  <si>
    <t>67600920</t>
  </si>
  <si>
    <t>42501125</t>
  </si>
  <si>
    <t>71266293</t>
  </si>
  <si>
    <t>60163474</t>
  </si>
  <si>
    <t>70544084</t>
  </si>
  <si>
    <t>67819600</t>
  </si>
  <si>
    <t>67822545</t>
  </si>
  <si>
    <t>67830632</t>
  </si>
  <si>
    <t>67874602</t>
  </si>
  <si>
    <t>71537506</t>
  </si>
  <si>
    <t>64101519</t>
  </si>
  <si>
    <t>91246551</t>
  </si>
  <si>
    <t>67928733</t>
  </si>
  <si>
    <t>67935718</t>
  </si>
  <si>
    <t>68069074</t>
  </si>
  <si>
    <t>68072924</t>
  </si>
  <si>
    <t>64103493</t>
  </si>
  <si>
    <t>68089581</t>
  </si>
  <si>
    <t>68129132</t>
  </si>
  <si>
    <t>91953794</t>
  </si>
  <si>
    <t>92900702</t>
  </si>
  <si>
    <t>90635044</t>
  </si>
  <si>
    <t>71936700</t>
  </si>
  <si>
    <t>68173784</t>
  </si>
  <si>
    <t>90961784</t>
  </si>
  <si>
    <t>68233982</t>
  </si>
  <si>
    <t>90561482</t>
  </si>
  <si>
    <t>02007213</t>
  </si>
  <si>
    <t>90918729</t>
  </si>
  <si>
    <t>总计</t>
  </si>
  <si>
    <t>CVR</t>
  </si>
  <si>
    <t>CVR</t>
    <phoneticPr fontId="2" type="noConversion"/>
  </si>
  <si>
    <t>CTR</t>
  </si>
  <si>
    <t>CTR</t>
    <phoneticPr fontId="2" type="noConversion"/>
  </si>
  <si>
    <t>GMV</t>
    <phoneticPr fontId="2" type="noConversion"/>
  </si>
  <si>
    <t>广告消耗</t>
    <phoneticPr fontId="2" type="noConversion"/>
  </si>
  <si>
    <t>预估CTR</t>
    <phoneticPr fontId="2" type="noConversion"/>
  </si>
  <si>
    <t>预估ACP</t>
    <phoneticPr fontId="2" type="noConversion"/>
  </si>
  <si>
    <t>单均价</t>
    <phoneticPr fontId="2" type="noConversion"/>
  </si>
  <si>
    <t>预估消耗</t>
    <phoneticPr fontId="2" type="noConversion"/>
  </si>
  <si>
    <r>
      <t>参与率：</t>
    </r>
    <r>
      <rPr>
        <b/>
        <sz val="12"/>
        <color theme="1"/>
        <rFont val="Calibri"/>
        <family val="2"/>
      </rPr>
      <t>100%</t>
    </r>
  </si>
  <si>
    <t>广告订单</t>
    <phoneticPr fontId="2" type="noConversion"/>
  </si>
  <si>
    <t>ROI</t>
    <phoneticPr fontId="2" type="noConversion"/>
  </si>
  <si>
    <t>广告GMV</t>
    <phoneticPr fontId="2" type="noConversion"/>
  </si>
  <si>
    <t>A组</t>
    <phoneticPr fontId="2" type="noConversion"/>
  </si>
  <si>
    <t>B组</t>
    <phoneticPr fontId="2" type="noConversion"/>
  </si>
  <si>
    <t>门店卡片曝光</t>
    <phoneticPr fontId="2" type="noConversion"/>
  </si>
  <si>
    <t>笔记CTR</t>
    <phoneticPr fontId="2" type="noConversion"/>
  </si>
  <si>
    <t>增长</t>
    <phoneticPr fontId="2" type="noConversion"/>
  </si>
  <si>
    <r>
      <rPr>
        <sz val="12"/>
        <color theme="1"/>
        <rFont val="Microsoft YaHei"/>
        <family val="2"/>
        <charset val="134"/>
      </rPr>
      <t>门店卡片</t>
    </r>
    <r>
      <rPr>
        <sz val="12"/>
        <color theme="1"/>
        <rFont val="Calibri"/>
        <family val="2"/>
      </rPr>
      <t>CTR</t>
    </r>
    <phoneticPr fontId="2" type="noConversion"/>
  </si>
  <si>
    <t>C组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</si>
</sst>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81" formatCode="0_ "/>
    <numFmt numFmtId="192" formatCode="0.00_ "/>
  </numFmts>
  <fonts count="1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宋体"/>
      <family val="3"/>
      <charset val="134"/>
    </font>
    <font>
      <sz val="12"/>
      <color theme="1"/>
      <name val="Microsoft YaHei"/>
      <family val="2"/>
      <charset val="134"/>
    </font>
    <font>
      <sz val="12"/>
      <color theme="1"/>
      <name val="Calibr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B38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81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1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9" fontId="0" fillId="0" borderId="0" xfId="2" applyFont="1">
      <alignment vertical="center"/>
    </xf>
    <xf numFmtId="10" fontId="3" fillId="0" borderId="1" xfId="2" applyNumberFormat="1" applyFont="1" applyBorder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10" fontId="0" fillId="0" borderId="0" xfId="2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92" fontId="3" fillId="0" borderId="1" xfId="0" applyNumberFormat="1" applyFont="1" applyBorder="1" applyAlignment="1">
      <alignment horizontal="center" vertical="center"/>
    </xf>
    <xf numFmtId="192" fontId="4" fillId="0" borderId="0" xfId="0" applyNumberFormat="1" applyFont="1" applyAlignment="1">
      <alignment horizontal="center" vertical="center"/>
    </xf>
    <xf numFmtId="192" fontId="0" fillId="0" borderId="0" xfId="0" applyNumberFormat="1">
      <alignment vertical="center"/>
    </xf>
    <xf numFmtId="10" fontId="5" fillId="0" borderId="0" xfId="0" applyNumberFormat="1" applyFont="1">
      <alignment vertical="center"/>
    </xf>
    <xf numFmtId="0" fontId="9" fillId="0" borderId="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justify" vertical="center" wrapText="1"/>
    </xf>
    <xf numFmtId="0" fontId="6" fillId="2" borderId="3" xfId="0" applyFont="1" applyFill="1" applyBorder="1" applyAlignment="1">
      <alignment horizontal="justify" vertical="center" wrapText="1"/>
    </xf>
    <xf numFmtId="0" fontId="6" fillId="2" borderId="4" xfId="0" applyFont="1" applyFill="1" applyBorder="1" applyAlignment="1">
      <alignment horizontal="justify" vertical="center" wrapText="1"/>
    </xf>
    <xf numFmtId="1" fontId="8" fillId="0" borderId="2" xfId="0" applyNumberFormat="1" applyFont="1" applyBorder="1" applyAlignment="1">
      <alignment horizontal="justify" vertical="center" wrapText="1"/>
    </xf>
    <xf numFmtId="1" fontId="8" fillId="0" borderId="5" xfId="0" applyNumberFormat="1" applyFont="1" applyBorder="1" applyAlignment="1">
      <alignment horizontal="justify" vertical="center" wrapText="1"/>
    </xf>
    <xf numFmtId="10" fontId="8" fillId="0" borderId="5" xfId="0" applyNumberFormat="1" applyFont="1" applyBorder="1" applyAlignment="1">
      <alignment horizontal="justify" vertical="center" wrapText="1"/>
    </xf>
    <xf numFmtId="2" fontId="8" fillId="0" borderId="2" xfId="0" applyNumberFormat="1" applyFont="1" applyBorder="1" applyAlignment="1">
      <alignment horizontal="justify" vertical="center" wrapText="1"/>
    </xf>
    <xf numFmtId="0" fontId="0" fillId="0" borderId="6" xfId="0" applyBorder="1">
      <alignment vertical="center"/>
    </xf>
    <xf numFmtId="0" fontId="9" fillId="0" borderId="7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0" fillId="3" borderId="6" xfId="0" applyFill="1" applyBorder="1">
      <alignment vertical="center"/>
    </xf>
    <xf numFmtId="1" fontId="0" fillId="0" borderId="6" xfId="0" applyNumberFormat="1" applyBorder="1">
      <alignment vertical="center"/>
    </xf>
    <xf numFmtId="10" fontId="0" fillId="0" borderId="6" xfId="2" applyNumberFormat="1" applyFont="1" applyBorder="1">
      <alignment vertical="center"/>
    </xf>
    <xf numFmtId="0" fontId="11" fillId="0" borderId="7" xfId="0" applyFont="1" applyBorder="1" applyAlignment="1">
      <alignment horizontal="justify" vertical="center" wrapText="1"/>
    </xf>
    <xf numFmtId="10" fontId="0" fillId="0" borderId="6" xfId="0" applyNumberFormat="1" applyBorder="1">
      <alignment vertical="center"/>
    </xf>
    <xf numFmtId="43" fontId="0" fillId="0" borderId="6" xfId="1" applyFont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C86C-2D1A-774F-960C-609911FA09E2}">
  <dimension ref="A1:T633"/>
  <sheetViews>
    <sheetView zoomScale="125" workbookViewId="0">
      <selection activeCell="I2" sqref="I2"/>
    </sheetView>
  </sheetViews>
  <sheetFormatPr baseColWidth="10" defaultRowHeight="16"/>
  <cols>
    <col min="1" max="1" width="13" bestFit="1" customWidth="1"/>
    <col min="2" max="2" width="11.6640625" customWidth="1"/>
    <col min="3" max="3" width="10.83203125" customWidth="1"/>
    <col min="4" max="4" width="10.83203125" style="11" customWidth="1"/>
    <col min="5" max="5" width="10.83203125" customWidth="1"/>
    <col min="6" max="6" width="7.83203125" customWidth="1"/>
    <col min="7" max="7" width="11.5" customWidth="1"/>
    <col min="11" max="11" width="10.83203125" style="15"/>
    <col min="12" max="12" width="10.83203125" style="11"/>
    <col min="14" max="20" width="10.83203125" style="5"/>
  </cols>
  <sheetData>
    <row r="1" spans="1:14" ht="17">
      <c r="A1" s="12" t="s">
        <v>2</v>
      </c>
      <c r="B1" s="12" t="s">
        <v>1</v>
      </c>
      <c r="C1" s="12" t="s">
        <v>3</v>
      </c>
      <c r="D1" s="12" t="s">
        <v>576</v>
      </c>
      <c r="E1" s="12" t="s">
        <v>578</v>
      </c>
      <c r="F1" s="12" t="s">
        <v>574</v>
      </c>
      <c r="G1" s="12" t="s">
        <v>577</v>
      </c>
      <c r="H1" s="12" t="s">
        <v>5</v>
      </c>
      <c r="I1" s="12" t="s">
        <v>574</v>
      </c>
      <c r="J1" s="12" t="s">
        <v>581</v>
      </c>
      <c r="K1" s="12" t="s">
        <v>580</v>
      </c>
      <c r="L1" s="12" t="s">
        <v>579</v>
      </c>
      <c r="M1" s="12" t="s">
        <v>582</v>
      </c>
    </row>
    <row r="2" spans="1:14" ht="17">
      <c r="A2" s="1" t="s">
        <v>6</v>
      </c>
      <c r="B2" s="6">
        <f>C2/10.26%</f>
        <v>172825.99338425536</v>
      </c>
      <c r="C2" s="2">
        <v>17731.9469212246</v>
      </c>
      <c r="D2" s="9">
        <v>8.3500000000000005E-2</v>
      </c>
      <c r="E2" s="2">
        <f>C2*L2*K2</f>
        <v>738.16188848763989</v>
      </c>
      <c r="F2" s="9">
        <v>2.3744000000000001E-2</v>
      </c>
      <c r="G2" s="2">
        <f>C2*L2*F2*J2</f>
        <v>6306.9475657746334</v>
      </c>
      <c r="H2" s="7">
        <f>G2/E2</f>
        <v>8.5441251629726196</v>
      </c>
      <c r="I2" s="9">
        <v>2.3744000000000001E-2</v>
      </c>
      <c r="J2" s="2">
        <v>276</v>
      </c>
      <c r="K2" s="13">
        <v>0.76700000000000002</v>
      </c>
      <c r="L2" s="9">
        <f>D2*65%</f>
        <v>5.4275000000000004E-2</v>
      </c>
      <c r="M2" s="2">
        <f>C2*L2*K2</f>
        <v>738.16188848763989</v>
      </c>
      <c r="N2" s="16">
        <f>J2*I2/H2</f>
        <v>0.76700000000000013</v>
      </c>
    </row>
    <row r="3" spans="1:14" ht="17">
      <c r="A3" s="1" t="s">
        <v>7</v>
      </c>
      <c r="B3" s="6">
        <f>C3/11.36%</f>
        <v>125308.56834722888</v>
      </c>
      <c r="C3" s="2">
        <v>14235.053364245199</v>
      </c>
      <c r="D3" s="9">
        <v>8.9800000000000005E-2</v>
      </c>
      <c r="E3" s="2">
        <f t="shared" ref="E3:E66" si="0">C3*L3*K3</f>
        <v>518.48164047949922</v>
      </c>
      <c r="F3" s="9">
        <v>2.52E-2</v>
      </c>
      <c r="G3" s="2">
        <f t="shared" ref="G3:G66" si="1">C3*L3*F3*J3</f>
        <v>1361.0143062586853</v>
      </c>
      <c r="H3" s="7">
        <f t="shared" ref="H3:H57" si="2">G3/E3</f>
        <v>2.625</v>
      </c>
      <c r="I3" s="9">
        <v>2.52E-2</v>
      </c>
      <c r="J3" s="2">
        <v>65</v>
      </c>
      <c r="K3" s="13">
        <v>0.624</v>
      </c>
      <c r="L3" s="9">
        <f t="shared" ref="L3:L57" si="3">D3*65%</f>
        <v>5.8370000000000005E-2</v>
      </c>
      <c r="M3" s="2">
        <f t="shared" ref="M3:M57" si="4">C3*L3*K3</f>
        <v>518.48164047949922</v>
      </c>
      <c r="N3" s="16">
        <f t="shared" ref="N3:N66" si="5">J3*I3/H3</f>
        <v>0.624</v>
      </c>
    </row>
    <row r="4" spans="1:14" ht="17">
      <c r="A4" s="1" t="s">
        <v>8</v>
      </c>
      <c r="B4" s="6">
        <f>C4/11.09%</f>
        <v>175991.13416902165</v>
      </c>
      <c r="C4" s="2">
        <v>19517.416779344501</v>
      </c>
      <c r="D4" s="9">
        <v>7.4399999999999994E-2</v>
      </c>
      <c r="E4" s="2">
        <f t="shared" si="0"/>
        <v>1744.2782292557729</v>
      </c>
      <c r="F4" s="9">
        <v>1.7864000000000001E-2</v>
      </c>
      <c r="G4" s="2">
        <f t="shared" si="1"/>
        <v>2073.9221497005956</v>
      </c>
      <c r="H4" s="7">
        <f t="shared" si="2"/>
        <v>1.1889858595468861</v>
      </c>
      <c r="I4" s="9">
        <v>1.7864000000000001E-2</v>
      </c>
      <c r="J4" s="2">
        <v>123</v>
      </c>
      <c r="K4" s="13">
        <v>1.84802197802198</v>
      </c>
      <c r="L4" s="9">
        <f t="shared" si="3"/>
        <v>4.836E-2</v>
      </c>
      <c r="M4" s="2">
        <f t="shared" si="4"/>
        <v>1744.2782292557729</v>
      </c>
      <c r="N4" s="16">
        <f t="shared" si="5"/>
        <v>1.8480219780219798</v>
      </c>
    </row>
    <row r="5" spans="1:14" ht="17">
      <c r="A5" s="1" t="s">
        <v>9</v>
      </c>
      <c r="B5" s="6">
        <f>C5/12.01%</f>
        <v>109388.45923085845</v>
      </c>
      <c r="C5" s="2">
        <v>13137.5539536261</v>
      </c>
      <c r="D5" s="9">
        <v>8.0860000000000001E-2</v>
      </c>
      <c r="E5" s="2">
        <f t="shared" si="0"/>
        <v>1491.9534336846948</v>
      </c>
      <c r="F5" s="9">
        <v>2.1800800000000002E-2</v>
      </c>
      <c r="G5" s="2">
        <f t="shared" si="1"/>
        <v>3522.4910180878451</v>
      </c>
      <c r="H5" s="7">
        <f t="shared" si="2"/>
        <v>2.3609926010815951</v>
      </c>
      <c r="I5" s="9">
        <v>2.1800800000000002E-2</v>
      </c>
      <c r="J5" s="2">
        <v>234</v>
      </c>
      <c r="K5" s="13">
        <v>2.1606959706959699</v>
      </c>
      <c r="L5" s="9">
        <f t="shared" si="3"/>
        <v>5.2559000000000002E-2</v>
      </c>
      <c r="M5" s="2">
        <f t="shared" si="4"/>
        <v>1491.9534336846948</v>
      </c>
      <c r="N5" s="16">
        <f t="shared" si="5"/>
        <v>2.1606959706959699</v>
      </c>
    </row>
    <row r="6" spans="1:14" ht="17">
      <c r="A6" s="1" t="s">
        <v>10</v>
      </c>
      <c r="B6" s="6">
        <f t="shared" ref="B6" si="6">C6/10.26%</f>
        <v>133135.56999725831</v>
      </c>
      <c r="C6" s="2">
        <v>13659.709481718701</v>
      </c>
      <c r="D6" s="9">
        <v>7.0277142857142899E-2</v>
      </c>
      <c r="E6" s="2">
        <f t="shared" si="0"/>
        <v>1685.4923130593731</v>
      </c>
      <c r="F6" s="9">
        <v>1.7101600000000012E-2</v>
      </c>
      <c r="G6" s="2">
        <f t="shared" si="1"/>
        <v>2240.9127889519718</v>
      </c>
      <c r="H6" s="7">
        <f t="shared" si="2"/>
        <v>1.3295301150821881</v>
      </c>
      <c r="I6" s="9">
        <v>1.7101600000000012E-2</v>
      </c>
      <c r="J6" s="2">
        <v>210</v>
      </c>
      <c r="K6" s="13">
        <v>2.7012069597069601</v>
      </c>
      <c r="L6" s="9">
        <f t="shared" si="3"/>
        <v>4.5680142857142884E-2</v>
      </c>
      <c r="M6" s="2">
        <f t="shared" si="4"/>
        <v>1685.4923130593731</v>
      </c>
      <c r="N6" s="16">
        <f t="shared" si="5"/>
        <v>2.7012069597069601</v>
      </c>
    </row>
    <row r="7" spans="1:14" ht="17">
      <c r="A7" s="1" t="s">
        <v>11</v>
      </c>
      <c r="B7" s="6">
        <f t="shared" ref="B7" si="7">C7/11.36%</f>
        <v>132768.65700227817</v>
      </c>
      <c r="C7" s="2">
        <v>15082.5194354588</v>
      </c>
      <c r="D7" s="9">
        <v>8.9694285714285699E-2</v>
      </c>
      <c r="E7" s="2">
        <f t="shared" si="0"/>
        <v>2850.540734987776</v>
      </c>
      <c r="F7" s="9">
        <v>2.2370399999999995E-2</v>
      </c>
      <c r="G7" s="2">
        <f t="shared" si="1"/>
        <v>3678.4713865549202</v>
      </c>
      <c r="H7" s="7">
        <f t="shared" si="2"/>
        <v>1.2904468760628656</v>
      </c>
      <c r="I7" s="9">
        <v>2.2370399999999995E-2</v>
      </c>
      <c r="J7" s="2">
        <v>187</v>
      </c>
      <c r="K7" s="13">
        <v>3.2417179487179499</v>
      </c>
      <c r="L7" s="9">
        <f t="shared" si="3"/>
        <v>5.8301285714285708E-2</v>
      </c>
      <c r="M7" s="2">
        <f t="shared" si="4"/>
        <v>2850.540734987776</v>
      </c>
      <c r="N7" s="16">
        <f t="shared" si="5"/>
        <v>3.2417179487179499</v>
      </c>
    </row>
    <row r="8" spans="1:14" ht="17">
      <c r="A8" s="1" t="s">
        <v>11</v>
      </c>
      <c r="B8" s="6">
        <f t="shared" ref="B8" si="8">C8/9.31%</f>
        <v>197895.3041960827</v>
      </c>
      <c r="C8" s="2">
        <v>18424.052820655299</v>
      </c>
      <c r="D8" s="9">
        <v>7.7722539682539699E-2</v>
      </c>
      <c r="E8" s="2">
        <f t="shared" si="0"/>
        <v>3520.41062491503</v>
      </c>
      <c r="F8" s="9">
        <v>1.9326311111111119E-2</v>
      </c>
      <c r="G8" s="2">
        <f t="shared" si="1"/>
        <v>4784.9357766467265</v>
      </c>
      <c r="H8" s="7">
        <f t="shared" si="2"/>
        <v>1.3591981977279193</v>
      </c>
      <c r="I8" s="9">
        <v>1.9326311111111119E-2</v>
      </c>
      <c r="J8" s="2">
        <v>266</v>
      </c>
      <c r="K8" s="13">
        <v>3.7822289377289402</v>
      </c>
      <c r="L8" s="9">
        <f t="shared" si="3"/>
        <v>5.0519650793650804E-2</v>
      </c>
      <c r="M8" s="2">
        <f t="shared" si="4"/>
        <v>3520.41062491503</v>
      </c>
      <c r="N8" s="16">
        <f t="shared" si="5"/>
        <v>3.7822289377289402</v>
      </c>
    </row>
    <row r="9" spans="1:14" ht="17">
      <c r="A9" s="1" t="s">
        <v>12</v>
      </c>
      <c r="B9" s="6">
        <f t="shared" ref="B9:B10" si="9">C9/12.1%</f>
        <v>122588.62397944464</v>
      </c>
      <c r="C9" s="2">
        <v>14833.223501512801</v>
      </c>
      <c r="D9" s="9">
        <v>7.8639682539682607E-2</v>
      </c>
      <c r="E9" s="2">
        <f t="shared" si="0"/>
        <v>3277.5532493656833</v>
      </c>
      <c r="F9" s="9">
        <v>2.4875111111111101E-2</v>
      </c>
      <c r="G9" s="2">
        <f t="shared" si="1"/>
        <v>2055.806221729496</v>
      </c>
      <c r="H9" s="7">
        <f t="shared" si="2"/>
        <v>0.62723808442391094</v>
      </c>
      <c r="I9" s="9">
        <v>2.4875111111111101E-2</v>
      </c>
      <c r="J9" s="2">
        <v>109</v>
      </c>
      <c r="K9" s="13">
        <v>4.3227399267399296</v>
      </c>
      <c r="L9" s="9">
        <f t="shared" si="3"/>
        <v>5.1115793650793696E-2</v>
      </c>
      <c r="M9" s="2">
        <f t="shared" si="4"/>
        <v>3277.5532493656833</v>
      </c>
      <c r="N9" s="16">
        <f t="shared" si="5"/>
        <v>4.3227399267399287</v>
      </c>
    </row>
    <row r="10" spans="1:14" ht="17">
      <c r="A10" s="1" t="s">
        <v>13</v>
      </c>
      <c r="B10" s="6">
        <f t="shared" si="9"/>
        <v>117646.10907372975</v>
      </c>
      <c r="C10" s="2">
        <v>14235.179197921299</v>
      </c>
      <c r="D10" s="9">
        <v>7.9556825396825404E-2</v>
      </c>
      <c r="E10" s="2">
        <f t="shared" si="0"/>
        <v>1360.3819845813571</v>
      </c>
      <c r="F10" s="9">
        <v>2.0147911111111111E-2</v>
      </c>
      <c r="G10" s="2">
        <f t="shared" si="1"/>
        <v>1156.8535109541522</v>
      </c>
      <c r="H10" s="7">
        <f t="shared" si="2"/>
        <v>0.85038873203702514</v>
      </c>
      <c r="I10" s="9">
        <v>2.0147911111111111E-2</v>
      </c>
      <c r="J10" s="2">
        <v>78</v>
      </c>
      <c r="K10" s="13">
        <v>1.84802197802198</v>
      </c>
      <c r="L10" s="9">
        <f t="shared" si="3"/>
        <v>5.1711936507936512E-2</v>
      </c>
      <c r="M10" s="2">
        <f t="shared" si="4"/>
        <v>1360.3819845813571</v>
      </c>
      <c r="N10" s="16">
        <f t="shared" si="5"/>
        <v>1.8480219780219798</v>
      </c>
    </row>
    <row r="11" spans="1:14" ht="17">
      <c r="A11" s="1" t="s">
        <v>14</v>
      </c>
      <c r="B11" s="6">
        <f t="shared" ref="B11" si="10">C11/11.09%</f>
        <v>118647.79472461768</v>
      </c>
      <c r="C11" s="2">
        <v>13158.040434960099</v>
      </c>
      <c r="D11" s="9">
        <v>5.9900000000000002E-2</v>
      </c>
      <c r="E11" s="2">
        <f t="shared" si="0"/>
        <v>960.46547539672474</v>
      </c>
      <c r="F11" s="9">
        <v>1.7136000000000002E-2</v>
      </c>
      <c r="G11" s="2">
        <f t="shared" si="1"/>
        <v>491.61924577290006</v>
      </c>
      <c r="H11" s="7">
        <f t="shared" si="2"/>
        <v>0.51185519767884879</v>
      </c>
      <c r="I11" s="9">
        <v>1.7136000000000002E-2</v>
      </c>
      <c r="J11" s="2">
        <v>56</v>
      </c>
      <c r="K11" s="13">
        <v>1.8747802197802199</v>
      </c>
      <c r="L11" s="9">
        <f t="shared" si="3"/>
        <v>3.8935000000000004E-2</v>
      </c>
      <c r="M11" s="2">
        <f t="shared" si="4"/>
        <v>960.46547539672474</v>
      </c>
      <c r="N11" s="16">
        <f t="shared" si="5"/>
        <v>1.8747802197802201</v>
      </c>
    </row>
    <row r="12" spans="1:14" ht="17">
      <c r="A12" s="1" t="s">
        <v>15</v>
      </c>
      <c r="B12" s="6">
        <f t="shared" ref="B12" si="11">C12/12.01%</f>
        <v>84308.803156045789</v>
      </c>
      <c r="C12" s="2">
        <v>10125.4872590411</v>
      </c>
      <c r="D12" s="9">
        <v>8.1100000000000005E-2</v>
      </c>
      <c r="E12" s="2">
        <f t="shared" si="0"/>
        <v>1014.9747926513754</v>
      </c>
      <c r="F12" s="9">
        <v>1.9964000000000003E-2</v>
      </c>
      <c r="G12" s="2">
        <f t="shared" si="1"/>
        <v>1044.2963961515738</v>
      </c>
      <c r="H12" s="7">
        <f t="shared" si="2"/>
        <v>1.0288889967637549</v>
      </c>
      <c r="I12" s="9">
        <v>1.9964000000000003E-2</v>
      </c>
      <c r="J12" s="2">
        <v>98</v>
      </c>
      <c r="K12" s="13">
        <v>1.9015384615384601</v>
      </c>
      <c r="L12" s="9">
        <f t="shared" si="3"/>
        <v>5.2715000000000005E-2</v>
      </c>
      <c r="M12" s="2">
        <f t="shared" si="4"/>
        <v>1014.9747926513754</v>
      </c>
      <c r="N12" s="16">
        <f t="shared" si="5"/>
        <v>1.9015384615384601</v>
      </c>
    </row>
    <row r="13" spans="1:14" ht="17">
      <c r="A13" s="1" t="s">
        <v>16</v>
      </c>
      <c r="B13" s="6">
        <f t="shared" ref="B13" si="12">C13/10.26%</f>
        <v>96687.537346410827</v>
      </c>
      <c r="C13" s="2">
        <v>9920.14133174175</v>
      </c>
      <c r="D13" s="9">
        <v>7.4399999999999994E-2</v>
      </c>
      <c r="E13" s="2">
        <f t="shared" si="0"/>
        <v>925.07727095672226</v>
      </c>
      <c r="F13" s="9">
        <v>1.8704000000000002E-2</v>
      </c>
      <c r="G13" s="2">
        <f t="shared" si="1"/>
        <v>592.21933339508905</v>
      </c>
      <c r="H13" s="7">
        <f t="shared" si="2"/>
        <v>0.64018363869497208</v>
      </c>
      <c r="I13" s="9">
        <v>1.8704000000000002E-2</v>
      </c>
      <c r="J13" s="2">
        <v>66</v>
      </c>
      <c r="K13" s="13">
        <v>1.9282967032967</v>
      </c>
      <c r="L13" s="9">
        <f t="shared" si="3"/>
        <v>4.836E-2</v>
      </c>
      <c r="M13" s="2">
        <f t="shared" si="4"/>
        <v>925.07727095672226</v>
      </c>
      <c r="N13" s="16">
        <f t="shared" si="5"/>
        <v>1.9282967032966998</v>
      </c>
    </row>
    <row r="14" spans="1:14" ht="17">
      <c r="A14" s="1" t="s">
        <v>17</v>
      </c>
      <c r="B14" s="6">
        <f t="shared" ref="B14" si="13">C14/11.36%</f>
        <v>39650.064532071308</v>
      </c>
      <c r="C14" s="2">
        <v>4504.2473308433</v>
      </c>
      <c r="D14" s="9">
        <v>8.0860000000000001E-2</v>
      </c>
      <c r="E14" s="2">
        <f t="shared" si="0"/>
        <v>147.72497092815883</v>
      </c>
      <c r="F14" s="9">
        <v>1.9504800000000003E-2</v>
      </c>
      <c r="G14" s="2">
        <f t="shared" si="1"/>
        <v>1325.234464293897</v>
      </c>
      <c r="H14" s="7">
        <f t="shared" si="2"/>
        <v>8.9709576923076941</v>
      </c>
      <c r="I14" s="9">
        <v>1.9504800000000003E-2</v>
      </c>
      <c r="J14" s="2">
        <v>287</v>
      </c>
      <c r="K14" s="13">
        <v>0.624</v>
      </c>
      <c r="L14" s="9">
        <f t="shared" si="3"/>
        <v>5.2559000000000002E-2</v>
      </c>
      <c r="M14" s="2">
        <f t="shared" si="4"/>
        <v>147.72497092815883</v>
      </c>
      <c r="N14" s="16">
        <f t="shared" si="5"/>
        <v>0.62399999999999989</v>
      </c>
    </row>
    <row r="15" spans="1:14" ht="17">
      <c r="A15" s="1" t="s">
        <v>18</v>
      </c>
      <c r="B15" s="6">
        <f t="shared" ref="B15" si="14">C15/9.31%</f>
        <v>120259.77819000644</v>
      </c>
      <c r="C15" s="2">
        <v>11196.1853494896</v>
      </c>
      <c r="D15" s="9">
        <v>7.0277142857142899E-2</v>
      </c>
      <c r="E15" s="2">
        <f t="shared" si="0"/>
        <v>931.47321962338447</v>
      </c>
      <c r="F15" s="9">
        <v>1.6625600000000015E-2</v>
      </c>
      <c r="G15" s="2">
        <f t="shared" si="1"/>
        <v>833.29914469726191</v>
      </c>
      <c r="H15" s="7">
        <f t="shared" si="2"/>
        <v>0.89460343801852238</v>
      </c>
      <c r="I15" s="9">
        <v>1.6625600000000015E-2</v>
      </c>
      <c r="J15" s="2">
        <v>98</v>
      </c>
      <c r="K15" s="13">
        <v>1.8212637362637401</v>
      </c>
      <c r="L15" s="9">
        <f t="shared" si="3"/>
        <v>4.5680142857142884E-2</v>
      </c>
      <c r="M15" s="2">
        <f t="shared" si="4"/>
        <v>931.47321962338447</v>
      </c>
      <c r="N15" s="16">
        <f t="shared" si="5"/>
        <v>1.8212637362637401</v>
      </c>
    </row>
    <row r="16" spans="1:14" ht="17">
      <c r="A16" s="1" t="s">
        <v>19</v>
      </c>
      <c r="B16" s="6">
        <f t="shared" ref="B16" si="15">C16/9.31%</f>
        <v>97213.952344802688</v>
      </c>
      <c r="C16" s="2">
        <v>9050.6189633011309</v>
      </c>
      <c r="D16" s="9">
        <v>8.2308253968254003E-2</v>
      </c>
      <c r="E16" s="2">
        <f t="shared" si="0"/>
        <v>959.61657484629291</v>
      </c>
      <c r="F16" s="9">
        <v>2.3718311111111123E-2</v>
      </c>
      <c r="G16" s="2">
        <f t="shared" si="1"/>
        <v>1129.1527481644969</v>
      </c>
      <c r="H16" s="7">
        <f t="shared" si="2"/>
        <v>1.1766707430468877</v>
      </c>
      <c r="I16" s="9">
        <v>2.3718311111111123E-2</v>
      </c>
      <c r="J16" s="2">
        <v>98.3181974544204</v>
      </c>
      <c r="K16" s="13">
        <v>1.9818131868131901</v>
      </c>
      <c r="L16" s="9">
        <f t="shared" si="3"/>
        <v>5.3500365079365106E-2</v>
      </c>
      <c r="M16" s="2">
        <f t="shared" si="4"/>
        <v>959.61657484629291</v>
      </c>
      <c r="N16" s="16">
        <f t="shared" si="5"/>
        <v>1.9818131868131899</v>
      </c>
    </row>
    <row r="17" spans="1:14" ht="17">
      <c r="A17" s="1" t="s">
        <v>20</v>
      </c>
      <c r="B17" s="6">
        <f t="shared" ref="B17:B18" si="16">C17/12.1%</f>
        <v>86651.295398972725</v>
      </c>
      <c r="C17" s="2">
        <v>10484.8067432757</v>
      </c>
      <c r="D17" s="9">
        <v>8.32253968253968E-2</v>
      </c>
      <c r="E17" s="2">
        <f t="shared" si="0"/>
        <v>1139.2445032395922</v>
      </c>
      <c r="F17" s="9">
        <v>2.0167111111111104E-2</v>
      </c>
      <c r="G17" s="2">
        <f t="shared" si="1"/>
        <v>1082.3634710783581</v>
      </c>
      <c r="H17" s="7">
        <f t="shared" si="2"/>
        <v>0.9500712691617248</v>
      </c>
      <c r="I17" s="9">
        <v>2.0167111111111104E-2</v>
      </c>
      <c r="J17" s="2">
        <v>94.623667010663894</v>
      </c>
      <c r="K17" s="13">
        <v>2.0085714285714298</v>
      </c>
      <c r="L17" s="9">
        <f t="shared" si="3"/>
        <v>5.4096507936507922E-2</v>
      </c>
      <c r="M17" s="2">
        <f t="shared" si="4"/>
        <v>1139.2445032395922</v>
      </c>
      <c r="N17" s="16">
        <f t="shared" si="5"/>
        <v>2.0085714285714298</v>
      </c>
    </row>
    <row r="18" spans="1:14" ht="17">
      <c r="A18" s="1" t="s">
        <v>21</v>
      </c>
      <c r="B18" s="6">
        <f t="shared" si="16"/>
        <v>62559.280300315208</v>
      </c>
      <c r="C18" s="2">
        <v>7569.6729163381397</v>
      </c>
      <c r="D18" s="9">
        <v>8.4142539682539694E-2</v>
      </c>
      <c r="E18" s="2">
        <f t="shared" si="0"/>
        <v>842.63763190334794</v>
      </c>
      <c r="F18" s="9">
        <v>2.0507911111111117E-2</v>
      </c>
      <c r="G18" s="2">
        <f t="shared" si="1"/>
        <v>772.02360729036138</v>
      </c>
      <c r="H18" s="7">
        <f t="shared" si="2"/>
        <v>0.91619882386040163</v>
      </c>
      <c r="I18" s="9">
        <v>2.0507911111111117E-2</v>
      </c>
      <c r="J18" s="2">
        <v>90.929136566907502</v>
      </c>
      <c r="K18" s="13">
        <v>2.0353296703296699</v>
      </c>
      <c r="L18" s="9">
        <f t="shared" si="3"/>
        <v>5.46926507936508E-2</v>
      </c>
      <c r="M18" s="2">
        <f t="shared" si="4"/>
        <v>842.63763190334794</v>
      </c>
      <c r="N18" s="16">
        <f t="shared" si="5"/>
        <v>2.0353296703296699</v>
      </c>
    </row>
    <row r="19" spans="1:14" ht="17">
      <c r="A19" s="1" t="s">
        <v>22</v>
      </c>
      <c r="B19" s="6">
        <f t="shared" ref="B19" si="17">C19/11.09%</f>
        <v>78274.038423416045</v>
      </c>
      <c r="C19" s="2">
        <v>8680.5908611568393</v>
      </c>
      <c r="D19" s="9">
        <v>8.5059682539682602E-2</v>
      </c>
      <c r="E19" s="2">
        <f t="shared" si="0"/>
        <v>989.67722886052979</v>
      </c>
      <c r="F19" s="9">
        <v>2.084871111111113E-2</v>
      </c>
      <c r="G19" s="2">
        <f t="shared" si="1"/>
        <v>872.87974829671066</v>
      </c>
      <c r="H19" s="7">
        <f t="shared" si="2"/>
        <v>0.88198427006520652</v>
      </c>
      <c r="I19" s="9">
        <v>2.084871111111113E-2</v>
      </c>
      <c r="J19" s="2">
        <v>87.234606123150996</v>
      </c>
      <c r="K19" s="13">
        <v>2.0620879120879101</v>
      </c>
      <c r="L19" s="9">
        <f t="shared" si="3"/>
        <v>5.5288793650793693E-2</v>
      </c>
      <c r="M19" s="2">
        <f t="shared" si="4"/>
        <v>989.67722886052979</v>
      </c>
      <c r="N19" s="16">
        <f t="shared" si="5"/>
        <v>2.0620879120879101</v>
      </c>
    </row>
    <row r="20" spans="1:14" ht="17">
      <c r="A20" s="1" t="s">
        <v>22</v>
      </c>
      <c r="B20" s="6">
        <f t="shared" ref="B20" si="18">C20/12.01%</f>
        <v>64892.501979183849</v>
      </c>
      <c r="C20" s="2">
        <v>7793.5894876999801</v>
      </c>
      <c r="D20" s="9">
        <v>8.5976825396825399E-2</v>
      </c>
      <c r="E20" s="2">
        <f t="shared" si="0"/>
        <v>909.78493914813214</v>
      </c>
      <c r="F20" s="9">
        <v>2.3233511111111112E-2</v>
      </c>
      <c r="G20" s="2">
        <f t="shared" si="1"/>
        <v>845.36059320522259</v>
      </c>
      <c r="H20" s="7">
        <f t="shared" si="2"/>
        <v>0.92918728023434571</v>
      </c>
      <c r="I20" s="9">
        <v>2.3233511111111112E-2</v>
      </c>
      <c r="J20" s="2">
        <v>83.540075679394604</v>
      </c>
      <c r="K20" s="13">
        <v>2.0888461538461498</v>
      </c>
      <c r="L20" s="9">
        <f t="shared" si="3"/>
        <v>5.5884936507936508E-2</v>
      </c>
      <c r="M20" s="2">
        <f t="shared" si="4"/>
        <v>909.78493914813214</v>
      </c>
      <c r="N20" s="16">
        <f t="shared" si="5"/>
        <v>2.0888461538461498</v>
      </c>
    </row>
    <row r="21" spans="1:14" ht="17">
      <c r="A21" s="1" t="s">
        <v>23</v>
      </c>
      <c r="B21" s="6">
        <f t="shared" ref="B21" si="19">C21/10.26%</f>
        <v>87003.679076190645</v>
      </c>
      <c r="C21" s="2">
        <v>8926.5774732171594</v>
      </c>
      <c r="D21" s="9">
        <v>8.6893968253968307E-2</v>
      </c>
      <c r="E21" s="2">
        <f t="shared" si="0"/>
        <v>1066.6512013060608</v>
      </c>
      <c r="F21" s="9">
        <v>2.1754311111111129E-2</v>
      </c>
      <c r="G21" s="2">
        <f t="shared" si="1"/>
        <v>875.75775576845649</v>
      </c>
      <c r="H21" s="7">
        <f t="shared" si="2"/>
        <v>0.82103480003222717</v>
      </c>
      <c r="I21" s="9">
        <v>2.1754311111111129E-2</v>
      </c>
      <c r="J21" s="2">
        <v>79.845545235637701</v>
      </c>
      <c r="K21" s="13">
        <v>2.1156043956044002</v>
      </c>
      <c r="L21" s="9">
        <f t="shared" si="3"/>
        <v>5.6481079365079401E-2</v>
      </c>
      <c r="M21" s="2">
        <f t="shared" si="4"/>
        <v>1066.6512013060608</v>
      </c>
      <c r="N21" s="16">
        <f t="shared" si="5"/>
        <v>2.1156043956044002</v>
      </c>
    </row>
    <row r="22" spans="1:14" ht="17">
      <c r="A22" s="1" t="s">
        <v>24</v>
      </c>
      <c r="B22" s="6">
        <f t="shared" ref="B22" si="20">C22/11.36%</f>
        <v>140214.19867333188</v>
      </c>
      <c r="C22" s="2">
        <v>15928.332969290501</v>
      </c>
      <c r="D22" s="9">
        <v>8.7811111111111104E-2</v>
      </c>
      <c r="E22" s="2">
        <f t="shared" si="0"/>
        <v>1947.7182810542495</v>
      </c>
      <c r="F22" s="9">
        <v>2.1843111111111112E-2</v>
      </c>
      <c r="G22" s="2">
        <f t="shared" si="1"/>
        <v>1512.2491355339625</v>
      </c>
      <c r="H22" s="7">
        <f t="shared" si="2"/>
        <v>0.77642087679919569</v>
      </c>
      <c r="I22" s="9">
        <v>2.1843111111111112E-2</v>
      </c>
      <c r="J22" s="2">
        <v>76.151014791881707</v>
      </c>
      <c r="K22" s="13">
        <v>2.1423626373626399</v>
      </c>
      <c r="L22" s="9">
        <f t="shared" si="3"/>
        <v>5.7077222222222217E-2</v>
      </c>
      <c r="M22" s="2">
        <f t="shared" si="4"/>
        <v>1947.7182810542495</v>
      </c>
      <c r="N22" s="16">
        <f t="shared" si="5"/>
        <v>2.1423626373626394</v>
      </c>
    </row>
    <row r="23" spans="1:14" ht="17">
      <c r="A23" s="1" t="s">
        <v>25</v>
      </c>
      <c r="B23" s="6">
        <f t="shared" ref="B23" si="21">C23/9.31%</f>
        <v>145574.37871369388</v>
      </c>
      <c r="C23" s="2">
        <v>13552.974658244901</v>
      </c>
      <c r="D23" s="9">
        <v>8.8728253968253998E-2</v>
      </c>
      <c r="E23" s="2">
        <f t="shared" si="0"/>
        <v>1695.4839111509466</v>
      </c>
      <c r="F23" s="9">
        <v>2.2407911111111123E-2</v>
      </c>
      <c r="G23" s="2">
        <f t="shared" si="1"/>
        <v>1269.0786828790688</v>
      </c>
      <c r="H23" s="7">
        <f t="shared" si="2"/>
        <v>0.74850529369964891</v>
      </c>
      <c r="I23" s="9">
        <v>2.2407911111111123E-2</v>
      </c>
      <c r="J23" s="2">
        <v>72.456484348125699</v>
      </c>
      <c r="K23" s="13">
        <v>2.16912087912088</v>
      </c>
      <c r="L23" s="9">
        <f t="shared" si="3"/>
        <v>5.7673365079365102E-2</v>
      </c>
      <c r="M23" s="2">
        <f t="shared" si="4"/>
        <v>1695.4839111509466</v>
      </c>
      <c r="N23" s="16">
        <f t="shared" si="5"/>
        <v>2.16912087912088</v>
      </c>
    </row>
    <row r="24" spans="1:14" ht="17">
      <c r="A24" s="1" t="s">
        <v>26</v>
      </c>
      <c r="B24" s="6">
        <f t="shared" ref="B24:B25" si="22">C24/12.1%</f>
        <v>180678.72667540659</v>
      </c>
      <c r="C24" s="2">
        <v>21862.125927724199</v>
      </c>
      <c r="D24" s="9">
        <v>8.9645396825396795E-2</v>
      </c>
      <c r="E24" s="2">
        <f t="shared" si="0"/>
        <v>2797.3201359323907</v>
      </c>
      <c r="F24" s="9">
        <v>2.2356711111111108E-2</v>
      </c>
      <c r="G24" s="2">
        <f t="shared" si="1"/>
        <v>1958.3479876821618</v>
      </c>
      <c r="H24" s="7">
        <f t="shared" si="2"/>
        <v>0.70008003822180109</v>
      </c>
      <c r="I24" s="9">
        <v>2.2356711111111108E-2</v>
      </c>
      <c r="J24" s="2">
        <v>68.761953904368696</v>
      </c>
      <c r="K24" s="13">
        <v>2.1958791208791202</v>
      </c>
      <c r="L24" s="9">
        <f t="shared" si="3"/>
        <v>5.8269507936507918E-2</v>
      </c>
      <c r="M24" s="2">
        <f t="shared" si="4"/>
        <v>2797.3201359323907</v>
      </c>
      <c r="N24" s="16">
        <f t="shared" si="5"/>
        <v>2.1958791208791202</v>
      </c>
    </row>
    <row r="25" spans="1:14" ht="17">
      <c r="A25" s="1" t="s">
        <v>27</v>
      </c>
      <c r="B25" s="6">
        <f t="shared" si="22"/>
        <v>207315.39056172728</v>
      </c>
      <c r="C25" s="2">
        <v>25085.162257969001</v>
      </c>
      <c r="D25" s="9">
        <v>9.0562539682539703E-2</v>
      </c>
      <c r="E25" s="2">
        <f t="shared" si="0"/>
        <v>3282.067244653892</v>
      </c>
      <c r="F25" s="9">
        <v>2.3229511111111115E-2</v>
      </c>
      <c r="G25" s="2">
        <f t="shared" si="1"/>
        <v>2231.9401457072522</v>
      </c>
      <c r="H25" s="7">
        <f t="shared" si="2"/>
        <v>0.68004095569425782</v>
      </c>
      <c r="I25" s="9">
        <v>2.3229511111111115E-2</v>
      </c>
      <c r="J25" s="2">
        <v>65.067423460612702</v>
      </c>
      <c r="K25" s="13">
        <v>2.2226373626373599</v>
      </c>
      <c r="L25" s="9">
        <f t="shared" si="3"/>
        <v>5.886565079365081E-2</v>
      </c>
      <c r="M25" s="2">
        <f t="shared" si="4"/>
        <v>3282.067244653892</v>
      </c>
      <c r="N25" s="16">
        <f t="shared" si="5"/>
        <v>2.2226373626373594</v>
      </c>
    </row>
    <row r="26" spans="1:14" ht="17">
      <c r="A26" s="1" t="s">
        <v>28</v>
      </c>
      <c r="B26" s="6">
        <f t="shared" ref="B26" si="23">C26/11.09%</f>
        <v>172514.31440610549</v>
      </c>
      <c r="C26" s="2">
        <v>19131.837467637099</v>
      </c>
      <c r="D26" s="9">
        <v>9.1479682539682597E-2</v>
      </c>
      <c r="E26" s="2">
        <f t="shared" si="0"/>
        <v>2558.9425177162834</v>
      </c>
      <c r="F26" s="9">
        <v>2.2478311111111128E-2</v>
      </c>
      <c r="G26" s="2">
        <f t="shared" si="1"/>
        <v>1569.4047460808965</v>
      </c>
      <c r="H26" s="7">
        <f t="shared" si="2"/>
        <v>0.61330207115457391</v>
      </c>
      <c r="I26" s="9">
        <v>2.2478311111111128E-2</v>
      </c>
      <c r="J26" s="2">
        <v>61.372893016855699</v>
      </c>
      <c r="K26" s="13">
        <v>2.2493956043956098</v>
      </c>
      <c r="L26" s="9">
        <f t="shared" si="3"/>
        <v>5.9461793650793689E-2</v>
      </c>
      <c r="M26" s="2">
        <f t="shared" si="4"/>
        <v>2558.9425177162834</v>
      </c>
      <c r="N26" s="16">
        <f t="shared" si="5"/>
        <v>2.2493956043956098</v>
      </c>
    </row>
    <row r="27" spans="1:14" ht="17">
      <c r="A27" s="1" t="s">
        <v>29</v>
      </c>
      <c r="B27" s="6">
        <f t="shared" ref="B27" si="24">C27/12.01%</f>
        <v>134918.65909386094</v>
      </c>
      <c r="C27" s="2">
        <v>16203.7309571727</v>
      </c>
      <c r="D27" s="9">
        <v>9.2396825396825394E-2</v>
      </c>
      <c r="E27" s="2">
        <f t="shared" si="0"/>
        <v>2215.0678973899803</v>
      </c>
      <c r="F27" s="9">
        <v>2.2819111111111113E-2</v>
      </c>
      <c r="G27" s="2">
        <f t="shared" si="1"/>
        <v>1280.8464705517356</v>
      </c>
      <c r="H27" s="7">
        <f t="shared" si="2"/>
        <v>0.57824253245733914</v>
      </c>
      <c r="I27" s="9">
        <v>2.2819111111111113E-2</v>
      </c>
      <c r="J27" s="2">
        <v>57.678362573099697</v>
      </c>
      <c r="K27" s="13">
        <v>2.27615384615385</v>
      </c>
      <c r="L27" s="9">
        <f t="shared" si="3"/>
        <v>6.0057936507936505E-2</v>
      </c>
      <c r="M27" s="2">
        <f t="shared" si="4"/>
        <v>2215.0678973899803</v>
      </c>
      <c r="N27" s="16">
        <f t="shared" si="5"/>
        <v>2.2761538461538495</v>
      </c>
    </row>
    <row r="28" spans="1:14" ht="17">
      <c r="A28" s="1" t="s">
        <v>30</v>
      </c>
      <c r="B28" s="6">
        <f t="shared" ref="B28" si="25">C28/10.26%</f>
        <v>100628.59395442592</v>
      </c>
      <c r="C28" s="2">
        <v>10324.493739724099</v>
      </c>
      <c r="D28" s="9">
        <v>9.3313968253968302E-2</v>
      </c>
      <c r="E28" s="2">
        <f t="shared" si="0"/>
        <v>1442.1357396413355</v>
      </c>
      <c r="F28" s="9">
        <v>2.3159911111111126E-2</v>
      </c>
      <c r="G28" s="2">
        <f t="shared" si="1"/>
        <v>782.94161815095583</v>
      </c>
      <c r="H28" s="7">
        <f t="shared" si="2"/>
        <v>0.54290424724213293</v>
      </c>
      <c r="I28" s="9">
        <v>2.3159911111111126E-2</v>
      </c>
      <c r="J28" s="2">
        <v>53.983832129342701</v>
      </c>
      <c r="K28" s="13">
        <v>2.3029120879120901</v>
      </c>
      <c r="L28" s="9">
        <f t="shared" si="3"/>
        <v>6.0654079365079397E-2</v>
      </c>
      <c r="M28" s="2">
        <f t="shared" si="4"/>
        <v>1442.1357396413355</v>
      </c>
      <c r="N28" s="16">
        <f t="shared" si="5"/>
        <v>2.3029120879120897</v>
      </c>
    </row>
    <row r="29" spans="1:14" ht="17">
      <c r="A29" s="1" t="s">
        <v>31</v>
      </c>
      <c r="B29" s="6">
        <f t="shared" ref="B29" si="26">C29/11.36%</f>
        <v>48605.458600972102</v>
      </c>
      <c r="C29" s="2">
        <v>5521.5800970704304</v>
      </c>
      <c r="D29" s="9">
        <v>9.4231111111111196E-2</v>
      </c>
      <c r="E29" s="2">
        <f t="shared" si="0"/>
        <v>787.88986470585792</v>
      </c>
      <c r="F29" s="9">
        <v>2.5544711111111135E-2</v>
      </c>
      <c r="G29" s="2">
        <f t="shared" si="1"/>
        <v>434.45784715106714</v>
      </c>
      <c r="H29" s="7">
        <f t="shared" si="2"/>
        <v>0.55141951510350096</v>
      </c>
      <c r="I29" s="9">
        <v>2.5544711111111135E-2</v>
      </c>
      <c r="J29" s="2">
        <v>50.2893016855867</v>
      </c>
      <c r="K29" s="13">
        <v>2.3296703296703298</v>
      </c>
      <c r="L29" s="9">
        <f t="shared" si="3"/>
        <v>6.1250222222222282E-2</v>
      </c>
      <c r="M29" s="2">
        <f t="shared" si="4"/>
        <v>787.88986470585792</v>
      </c>
      <c r="N29" s="16">
        <f t="shared" si="5"/>
        <v>2.3296703296703298</v>
      </c>
    </row>
    <row r="30" spans="1:14" ht="17">
      <c r="A30" s="1" t="s">
        <v>32</v>
      </c>
      <c r="B30" s="6">
        <f t="shared" ref="B30" si="27">C30/9.31%</f>
        <v>174263.72311119654</v>
      </c>
      <c r="C30" s="2">
        <v>16223.952621652399</v>
      </c>
      <c r="D30" s="9">
        <v>9.5148253968254007E-2</v>
      </c>
      <c r="E30" s="2">
        <f t="shared" si="0"/>
        <v>2364.4227479792503</v>
      </c>
      <c r="F30" s="9">
        <v>2.4065511111111122E-2</v>
      </c>
      <c r="G30" s="2">
        <f t="shared" si="1"/>
        <v>1125.1310833258481</v>
      </c>
      <c r="H30" s="7">
        <f t="shared" si="2"/>
        <v>0.4758586781012149</v>
      </c>
      <c r="I30" s="9">
        <v>2.4065511111111122E-2</v>
      </c>
      <c r="J30" s="2">
        <v>46.594771241829697</v>
      </c>
      <c r="K30" s="13">
        <v>2.35642857142857</v>
      </c>
      <c r="L30" s="9">
        <f t="shared" si="3"/>
        <v>6.1846365079365105E-2</v>
      </c>
      <c r="M30" s="2">
        <f t="shared" si="4"/>
        <v>2364.4227479792503</v>
      </c>
      <c r="N30" s="16">
        <f t="shared" si="5"/>
        <v>2.3564285714285695</v>
      </c>
    </row>
    <row r="31" spans="1:14" ht="17">
      <c r="A31" s="1" t="s">
        <v>33</v>
      </c>
      <c r="B31" s="6">
        <f t="shared" ref="B31:B32" si="28">C31/12.1%</f>
        <v>103954.64423844547</v>
      </c>
      <c r="C31" s="2">
        <v>12578.511952851901</v>
      </c>
      <c r="D31" s="9">
        <v>9.6065396825396901E-2</v>
      </c>
      <c r="E31" s="2">
        <f t="shared" si="0"/>
        <v>1871.8355521147002</v>
      </c>
      <c r="F31" s="9">
        <v>2.4154311111111135E-2</v>
      </c>
      <c r="G31" s="2">
        <f t="shared" si="1"/>
        <v>813.88677229468533</v>
      </c>
      <c r="H31" s="7">
        <f t="shared" si="2"/>
        <v>0.43480677101960125</v>
      </c>
      <c r="I31" s="9">
        <v>2.4154311111111135E-2</v>
      </c>
      <c r="J31" s="2">
        <v>42.900240798073703</v>
      </c>
      <c r="K31" s="13">
        <v>2.3831868131868199</v>
      </c>
      <c r="L31" s="9">
        <f t="shared" si="3"/>
        <v>6.244250793650799E-2</v>
      </c>
      <c r="M31" s="2">
        <f t="shared" si="4"/>
        <v>1871.8355521147002</v>
      </c>
      <c r="N31" s="16">
        <f t="shared" si="5"/>
        <v>2.3831868131868204</v>
      </c>
    </row>
    <row r="32" spans="1:14" ht="17">
      <c r="A32" s="1" t="s">
        <v>33</v>
      </c>
      <c r="B32" s="6">
        <f t="shared" si="28"/>
        <v>100404.70203843224</v>
      </c>
      <c r="C32" s="2">
        <v>12148.9689466503</v>
      </c>
      <c r="D32" s="9">
        <v>6.8777142857142898E-2</v>
      </c>
      <c r="E32" s="2">
        <f t="shared" si="0"/>
        <v>1308.8927136733159</v>
      </c>
      <c r="F32" s="9">
        <v>1.6821600000000013E-2</v>
      </c>
      <c r="G32" s="2">
        <f t="shared" si="1"/>
        <v>358.19006664861791</v>
      </c>
      <c r="H32" s="7">
        <f t="shared" si="2"/>
        <v>0.27365884377443167</v>
      </c>
      <c r="I32" s="9">
        <v>1.6821600000000013E-2</v>
      </c>
      <c r="J32" s="2">
        <v>39.2057103543167</v>
      </c>
      <c r="K32" s="13">
        <v>2.4099450549450601</v>
      </c>
      <c r="L32" s="9">
        <f t="shared" si="3"/>
        <v>4.4705142857142888E-2</v>
      </c>
      <c r="M32" s="2">
        <f t="shared" si="4"/>
        <v>1308.8927136733159</v>
      </c>
      <c r="N32" s="16">
        <f t="shared" si="5"/>
        <v>2.4099450549450601</v>
      </c>
    </row>
    <row r="33" spans="1:14" ht="17">
      <c r="A33" s="1" t="s">
        <v>34</v>
      </c>
      <c r="B33" s="6">
        <f t="shared" ref="B33" si="29">C33/11.09%</f>
        <v>101102.89262628855</v>
      </c>
      <c r="C33" s="2">
        <v>11212.310792255401</v>
      </c>
      <c r="D33" s="9">
        <v>6.9602857142857105E-2</v>
      </c>
      <c r="E33" s="2">
        <f t="shared" si="0"/>
        <v>1236.0561572615331</v>
      </c>
      <c r="F33" s="9">
        <v>1.674479999999999E-2</v>
      </c>
      <c r="G33" s="2">
        <f t="shared" si="1"/>
        <v>301.63422599918647</v>
      </c>
      <c r="H33" s="7">
        <f t="shared" si="2"/>
        <v>0.24402954851780626</v>
      </c>
      <c r="I33" s="9">
        <v>1.674479999999999E-2</v>
      </c>
      <c r="J33" s="2">
        <v>35.511179910560699</v>
      </c>
      <c r="K33" s="13">
        <v>2.4367032967033002</v>
      </c>
      <c r="L33" s="9">
        <f t="shared" si="3"/>
        <v>4.5241857142857118E-2</v>
      </c>
      <c r="M33" s="2">
        <f t="shared" si="4"/>
        <v>1236.0561572615331</v>
      </c>
      <c r="N33" s="16">
        <f t="shared" si="5"/>
        <v>2.4367032967032998</v>
      </c>
    </row>
    <row r="34" spans="1:14" ht="17">
      <c r="A34" s="1" t="s">
        <v>35</v>
      </c>
      <c r="B34" s="6">
        <f t="shared" ref="B34" si="30">C34/12.01%</f>
        <v>54143.967428721815</v>
      </c>
      <c r="C34" s="2">
        <v>6502.6904881894898</v>
      </c>
      <c r="D34" s="9">
        <v>7.0428571428571396E-2</v>
      </c>
      <c r="E34" s="2">
        <f t="shared" si="0"/>
        <v>733.33279144245955</v>
      </c>
      <c r="F34" s="9">
        <v>1.7591999999999993E-2</v>
      </c>
      <c r="G34" s="2">
        <f t="shared" si="1"/>
        <v>166.61917457471054</v>
      </c>
      <c r="H34" s="7">
        <f t="shared" si="2"/>
        <v>0.22720813322280597</v>
      </c>
      <c r="I34" s="9">
        <v>1.7591999999999993E-2</v>
      </c>
      <c r="J34" s="2">
        <v>31.816649466804702</v>
      </c>
      <c r="K34" s="13">
        <v>2.4634615384615399</v>
      </c>
      <c r="L34" s="9">
        <f t="shared" si="3"/>
        <v>4.5778571428571412E-2</v>
      </c>
      <c r="M34" s="2">
        <f t="shared" si="4"/>
        <v>733.33279144245955</v>
      </c>
      <c r="N34" s="16">
        <f t="shared" si="5"/>
        <v>2.4634615384615399</v>
      </c>
    </row>
    <row r="35" spans="1:14" ht="17">
      <c r="A35" s="1" t="s">
        <v>36</v>
      </c>
      <c r="B35" s="6">
        <f t="shared" ref="B35" si="31">C35/10.26%</f>
        <v>161633.79439373198</v>
      </c>
      <c r="C35" s="2">
        <v>16583.627304796901</v>
      </c>
      <c r="D35" s="9">
        <v>7.7722539682539699E-2</v>
      </c>
      <c r="E35" s="2">
        <f t="shared" si="0"/>
        <v>2086.3037918842865</v>
      </c>
      <c r="F35" s="9">
        <v>1.8626311111111116E-2</v>
      </c>
      <c r="G35" s="2">
        <f t="shared" si="1"/>
        <v>438.8486467894113</v>
      </c>
      <c r="H35" s="7">
        <f t="shared" si="2"/>
        <v>0.21034743286022428</v>
      </c>
      <c r="I35" s="9">
        <v>1.8626311111111116E-2</v>
      </c>
      <c r="J35" s="2">
        <v>28.122119023047699</v>
      </c>
      <c r="K35" s="13">
        <v>2.4902197802197801</v>
      </c>
      <c r="L35" s="9">
        <f t="shared" si="3"/>
        <v>5.0519650793650804E-2</v>
      </c>
      <c r="M35" s="2">
        <f t="shared" si="4"/>
        <v>2086.3037918842865</v>
      </c>
      <c r="N35" s="16">
        <f t="shared" si="5"/>
        <v>2.4902197802197801</v>
      </c>
    </row>
    <row r="36" spans="1:14" ht="17">
      <c r="A36" s="1" t="s">
        <v>37</v>
      </c>
      <c r="B36" s="6">
        <f t="shared" ref="B36" si="32">C36/11.36%</f>
        <v>116967.00594696215</v>
      </c>
      <c r="C36" s="2">
        <v>13287.4518755749</v>
      </c>
      <c r="D36" s="9">
        <v>7.8639682539682607E-2</v>
      </c>
      <c r="E36" s="2">
        <f t="shared" si="0"/>
        <v>1709.5280701187176</v>
      </c>
      <c r="F36" s="9">
        <v>1.8967111111111101E-2</v>
      </c>
      <c r="G36" s="2">
        <f t="shared" si="1"/>
        <v>314.68685205806298</v>
      </c>
      <c r="H36" s="7">
        <f t="shared" si="2"/>
        <v>0.18407820120567525</v>
      </c>
      <c r="I36" s="9">
        <v>1.8967111111111101E-2</v>
      </c>
      <c r="J36" s="2">
        <v>24.427588579291701</v>
      </c>
      <c r="K36" s="13">
        <v>2.51697802197803</v>
      </c>
      <c r="L36" s="9">
        <f t="shared" si="3"/>
        <v>5.1115793650793696E-2</v>
      </c>
      <c r="M36" s="2">
        <f t="shared" si="4"/>
        <v>1709.5280701187176</v>
      </c>
      <c r="N36" s="16">
        <f t="shared" si="5"/>
        <v>2.5169780219780296</v>
      </c>
    </row>
    <row r="37" spans="1:14" ht="17">
      <c r="A37" s="1" t="s">
        <v>38</v>
      </c>
      <c r="B37" s="6">
        <f t="shared" ref="B37" si="33">C37/9.31%</f>
        <v>103324.4345633723</v>
      </c>
      <c r="C37" s="2">
        <v>9619.5048578499609</v>
      </c>
      <c r="D37" s="9">
        <v>7.9556825396825404E-2</v>
      </c>
      <c r="E37" s="2">
        <f t="shared" si="0"/>
        <v>1265.3643691755415</v>
      </c>
      <c r="F37" s="9">
        <v>1.9307911111111114E-2</v>
      </c>
      <c r="G37" s="2">
        <f t="shared" si="1"/>
        <v>199.13251372467047</v>
      </c>
      <c r="H37" s="7">
        <f t="shared" si="2"/>
        <v>0.15737167773612662</v>
      </c>
      <c r="I37" s="9">
        <v>1.9307911111111114E-2</v>
      </c>
      <c r="J37" s="2">
        <v>20.733058135534701</v>
      </c>
      <c r="K37" s="13">
        <v>2.5437362637362702</v>
      </c>
      <c r="L37" s="9">
        <f t="shared" si="3"/>
        <v>5.1711936507936512E-2</v>
      </c>
      <c r="M37" s="2">
        <f t="shared" si="4"/>
        <v>1265.3643691755415</v>
      </c>
      <c r="N37" s="16">
        <f t="shared" si="5"/>
        <v>2.5437362637362702</v>
      </c>
    </row>
    <row r="38" spans="1:14" ht="17">
      <c r="A38" s="1" t="s">
        <v>39</v>
      </c>
      <c r="B38" s="6">
        <f t="shared" ref="B38:B39" si="34">C38/12.1%</f>
        <v>104236.13149160826</v>
      </c>
      <c r="C38" s="2">
        <v>12612.571910484599</v>
      </c>
      <c r="D38" s="9">
        <v>8.0473968253968298E-2</v>
      </c>
      <c r="E38" s="2">
        <f t="shared" si="0"/>
        <v>1695.8565348673185</v>
      </c>
      <c r="F38" s="9">
        <v>2.1692711111111124E-2</v>
      </c>
      <c r="G38" s="2">
        <f t="shared" si="1"/>
        <v>243.84751069095893</v>
      </c>
      <c r="H38" s="7">
        <f t="shared" si="2"/>
        <v>0.14379017663191493</v>
      </c>
      <c r="I38" s="9">
        <v>2.1692711111111124E-2</v>
      </c>
      <c r="J38" s="2">
        <v>17.0385276917787</v>
      </c>
      <c r="K38" s="13">
        <v>2.5704945054945099</v>
      </c>
      <c r="L38" s="9">
        <f t="shared" si="3"/>
        <v>5.2308079365079398E-2</v>
      </c>
      <c r="M38" s="2">
        <f t="shared" si="4"/>
        <v>1695.8565348673185</v>
      </c>
      <c r="N38" s="16">
        <f t="shared" si="5"/>
        <v>2.5704945054945099</v>
      </c>
    </row>
    <row r="39" spans="1:14" ht="17">
      <c r="A39" s="1" t="s">
        <v>40</v>
      </c>
      <c r="B39" s="6">
        <f t="shared" si="34"/>
        <v>101265.71596202729</v>
      </c>
      <c r="C39" s="2">
        <v>12253.151631405301</v>
      </c>
      <c r="D39" s="9">
        <v>8.1391111111111095E-2</v>
      </c>
      <c r="E39" s="2">
        <f t="shared" si="0"/>
        <v>1683.6520991415075</v>
      </c>
      <c r="F39" s="9">
        <v>2.021351111111111E-2</v>
      </c>
      <c r="G39" s="2">
        <f t="shared" si="1"/>
        <v>174.85008311875151</v>
      </c>
      <c r="H39" s="7">
        <f t="shared" si="2"/>
        <v>0.1038516705487478</v>
      </c>
      <c r="I39" s="9">
        <v>2.021351111111111E-2</v>
      </c>
      <c r="J39" s="2">
        <v>13.343997248021701</v>
      </c>
      <c r="K39" s="13">
        <v>2.59725274725275</v>
      </c>
      <c r="L39" s="9">
        <f t="shared" si="3"/>
        <v>5.2904222222222214E-2</v>
      </c>
      <c r="M39" s="2">
        <f t="shared" si="4"/>
        <v>1683.6520991415075</v>
      </c>
      <c r="N39" s="16">
        <f t="shared" si="5"/>
        <v>2.59725274725275</v>
      </c>
    </row>
    <row r="40" spans="1:14" ht="17">
      <c r="A40" s="1" t="s">
        <v>41</v>
      </c>
      <c r="B40" s="6">
        <f t="shared" ref="B40" si="35">C40/11.09%</f>
        <v>284294.12826614251</v>
      </c>
      <c r="C40" s="2">
        <v>31528.218824715201</v>
      </c>
      <c r="D40" s="9">
        <v>8.2308253968254003E-2</v>
      </c>
      <c r="E40" s="2">
        <f t="shared" si="0"/>
        <v>4426.1062104690054</v>
      </c>
      <c r="F40" s="9">
        <v>2.030231111111112E-2</v>
      </c>
      <c r="G40" s="2">
        <f t="shared" si="1"/>
        <v>330.44940690719</v>
      </c>
      <c r="H40" s="7">
        <f t="shared" si="2"/>
        <v>7.4659167944407384E-2</v>
      </c>
      <c r="I40" s="9">
        <v>2.030231111111112E-2</v>
      </c>
      <c r="J40" s="2">
        <v>9.6494668042657299</v>
      </c>
      <c r="K40" s="13">
        <v>2.6240109890109902</v>
      </c>
      <c r="L40" s="9">
        <f t="shared" si="3"/>
        <v>5.3500365079365106E-2</v>
      </c>
      <c r="M40" s="2">
        <f t="shared" si="4"/>
        <v>4426.1062104690054</v>
      </c>
      <c r="N40" s="16">
        <f t="shared" si="5"/>
        <v>2.6240109890109902</v>
      </c>
    </row>
    <row r="41" spans="1:14" ht="17">
      <c r="A41" s="1" t="s">
        <v>42</v>
      </c>
      <c r="B41" s="6">
        <f t="shared" ref="B41" si="36">C41/12.01%</f>
        <v>160459.66192580768</v>
      </c>
      <c r="C41" s="2">
        <v>19271.205397289501</v>
      </c>
      <c r="D41" s="9">
        <v>8.32253968253968E-2</v>
      </c>
      <c r="E41" s="2">
        <f t="shared" si="0"/>
        <v>2763.4399535177026</v>
      </c>
      <c r="F41" s="9">
        <v>2.0867111111111107E-2</v>
      </c>
      <c r="G41" s="2">
        <f t="shared" si="1"/>
        <v>129.54407807767342</v>
      </c>
      <c r="H41" s="7">
        <f t="shared" si="2"/>
        <v>4.6877833517884528E-2</v>
      </c>
      <c r="I41" s="9">
        <v>2.0867111111111107E-2</v>
      </c>
      <c r="J41" s="2">
        <v>5.9549363605087304</v>
      </c>
      <c r="K41" s="13">
        <v>2.6507692307692401</v>
      </c>
      <c r="L41" s="9">
        <f t="shared" si="3"/>
        <v>5.4096507936507922E-2</v>
      </c>
      <c r="M41" s="2">
        <f t="shared" si="4"/>
        <v>2763.4399535177026</v>
      </c>
      <c r="N41" s="16">
        <f t="shared" si="5"/>
        <v>2.6507692307692401</v>
      </c>
    </row>
    <row r="42" spans="1:14" ht="17">
      <c r="A42" s="1" t="s">
        <v>43</v>
      </c>
      <c r="B42" s="6">
        <f t="shared" ref="B42" si="37">C42/10.26%</f>
        <v>227089.39390775439</v>
      </c>
      <c r="C42" s="2">
        <v>23299.371814935599</v>
      </c>
      <c r="D42" s="9">
        <v>8.4142539682539694E-2</v>
      </c>
      <c r="E42" s="2">
        <f t="shared" si="0"/>
        <v>3411.9850564605408</v>
      </c>
      <c r="F42" s="9">
        <v>2.081591111111112E-2</v>
      </c>
      <c r="G42" s="2">
        <f t="shared" si="1"/>
        <v>59.959091658660668</v>
      </c>
      <c r="H42" s="7">
        <f t="shared" si="2"/>
        <v>1.7573081554131974E-2</v>
      </c>
      <c r="I42" s="9">
        <v>2.081591111111112E-2</v>
      </c>
      <c r="J42" s="2">
        <v>2.26040591675272</v>
      </c>
      <c r="K42" s="13">
        <v>2.6775274725274798</v>
      </c>
      <c r="L42" s="9">
        <f t="shared" si="3"/>
        <v>5.46926507936508E-2</v>
      </c>
      <c r="M42" s="2">
        <f t="shared" si="4"/>
        <v>3411.9850564605408</v>
      </c>
      <c r="N42" s="16">
        <f t="shared" si="5"/>
        <v>2.6775274725274798</v>
      </c>
    </row>
    <row r="43" spans="1:14" ht="17">
      <c r="A43" s="1" t="s">
        <v>44</v>
      </c>
      <c r="B43" s="6">
        <f t="shared" ref="B43" si="38">C43/11.36%</f>
        <v>107148.92486920158</v>
      </c>
      <c r="C43" s="2">
        <v>12172.117865141299</v>
      </c>
      <c r="D43" s="9">
        <v>8.5059682539682602E-2</v>
      </c>
      <c r="E43" s="2">
        <f t="shared" si="0"/>
        <v>1819.9348322762999</v>
      </c>
      <c r="F43" s="9">
        <v>2.168871111111113E-2</v>
      </c>
      <c r="G43" s="2">
        <f t="shared" si="1"/>
        <v>-20.932633548794701</v>
      </c>
      <c r="H43" s="7">
        <f t="shared" si="2"/>
        <v>-1.1501858845469221E-2</v>
      </c>
      <c r="I43" s="9">
        <v>2.168871111111113E-2</v>
      </c>
      <c r="J43" s="2">
        <v>-1.4341245270032901</v>
      </c>
      <c r="K43" s="13">
        <v>2.70428571428572</v>
      </c>
      <c r="L43" s="9">
        <f t="shared" si="3"/>
        <v>5.5288793650793693E-2</v>
      </c>
      <c r="M43" s="2">
        <f t="shared" si="4"/>
        <v>1819.9348322762999</v>
      </c>
      <c r="N43" s="16">
        <f t="shared" si="5"/>
        <v>2.7042857142857191</v>
      </c>
    </row>
    <row r="44" spans="1:14" ht="17">
      <c r="A44" s="1" t="s">
        <v>45</v>
      </c>
      <c r="B44" s="6">
        <f t="shared" ref="B44" si="39">C44/9.31%</f>
        <v>118506.51844417615</v>
      </c>
      <c r="C44" s="2">
        <v>11032.9568671528</v>
      </c>
      <c r="D44" s="9">
        <v>8.5976825396825399E-2</v>
      </c>
      <c r="E44" s="2">
        <f t="shared" si="0"/>
        <v>1683.8964150025959</v>
      </c>
      <c r="F44" s="9">
        <v>2.0937511111111112E-2</v>
      </c>
      <c r="G44" s="2">
        <f t="shared" si="1"/>
        <v>-66.208724295463838</v>
      </c>
      <c r="H44" s="7">
        <f t="shared" si="2"/>
        <v>-3.9318763140998657E-2</v>
      </c>
      <c r="I44" s="9">
        <v>2.0937511111111112E-2</v>
      </c>
      <c r="J44" s="2">
        <v>-5.1286549707602704</v>
      </c>
      <c r="K44" s="13">
        <v>2.7310439560439601</v>
      </c>
      <c r="L44" s="9">
        <f t="shared" si="3"/>
        <v>5.5884936507936508E-2</v>
      </c>
      <c r="M44" s="2">
        <f t="shared" si="4"/>
        <v>1683.8964150025959</v>
      </c>
      <c r="N44" s="16">
        <f t="shared" si="5"/>
        <v>2.7310439560439597</v>
      </c>
    </row>
    <row r="45" spans="1:14" ht="17">
      <c r="A45" s="1" t="s">
        <v>46</v>
      </c>
      <c r="B45" s="6">
        <f t="shared" ref="B45:B46" si="40">C45/12.1%</f>
        <v>88565.318342744635</v>
      </c>
      <c r="C45" s="2">
        <v>10716.4035194721</v>
      </c>
      <c r="D45" s="9">
        <v>8.6893968253968307E-2</v>
      </c>
      <c r="E45" s="2">
        <f t="shared" si="0"/>
        <v>1669.2260714182851</v>
      </c>
      <c r="F45" s="9">
        <v>2.1278311111111125E-2</v>
      </c>
      <c r="G45" s="2">
        <f t="shared" si="1"/>
        <v>-113.63565148284421</v>
      </c>
      <c r="H45" s="7">
        <f t="shared" si="2"/>
        <v>-6.8076849162972769E-2</v>
      </c>
      <c r="I45" s="9">
        <v>2.1278311111111125E-2</v>
      </c>
      <c r="J45" s="2">
        <v>-8.8231854145162707</v>
      </c>
      <c r="K45" s="13">
        <v>2.7578021978021998</v>
      </c>
      <c r="L45" s="9">
        <f t="shared" si="3"/>
        <v>5.6481079365079401E-2</v>
      </c>
      <c r="M45" s="2">
        <f t="shared" si="4"/>
        <v>1669.2260714182851</v>
      </c>
      <c r="N45" s="16">
        <f t="shared" si="5"/>
        <v>2.7578021978022003</v>
      </c>
    </row>
    <row r="46" spans="1:14" ht="17">
      <c r="A46" s="1" t="s">
        <v>47</v>
      </c>
      <c r="B46" s="6">
        <f t="shared" si="40"/>
        <v>44465.237600471075</v>
      </c>
      <c r="C46" s="2">
        <v>5380.2937496570003</v>
      </c>
      <c r="D46" s="9">
        <v>8.7811111111111104E-2</v>
      </c>
      <c r="E46" s="2">
        <f t="shared" si="0"/>
        <v>855.11685259439162</v>
      </c>
      <c r="F46" s="9">
        <v>2.1619111111111113E-2</v>
      </c>
      <c r="G46" s="2">
        <f t="shared" si="1"/>
        <v>-83.105877513001985</v>
      </c>
      <c r="H46" s="7">
        <f t="shared" si="2"/>
        <v>-9.7186574280300933E-2</v>
      </c>
      <c r="I46" s="9">
        <v>2.1619111111111113E-2</v>
      </c>
      <c r="J46" s="2">
        <v>-12.5177158582733</v>
      </c>
      <c r="K46" s="13">
        <v>2.78456043956044</v>
      </c>
      <c r="L46" s="9">
        <f t="shared" si="3"/>
        <v>5.7077222222222217E-2</v>
      </c>
      <c r="M46" s="2">
        <f t="shared" si="4"/>
        <v>855.11685259439162</v>
      </c>
      <c r="N46" s="16">
        <f t="shared" si="5"/>
        <v>2.78456043956044</v>
      </c>
    </row>
    <row r="47" spans="1:14" ht="17">
      <c r="A47" s="1" t="s">
        <v>48</v>
      </c>
      <c r="B47" s="6">
        <f t="shared" ref="B47" si="41">C47/11.09%</f>
        <v>60779.812042929036</v>
      </c>
      <c r="C47" s="2">
        <v>6740.4811555608303</v>
      </c>
      <c r="D47" s="9">
        <v>8.3500000000000005E-2</v>
      </c>
      <c r="E47" s="2">
        <f t="shared" si="0"/>
        <v>1028.4917432233256</v>
      </c>
      <c r="F47" s="9">
        <v>2.2540000000000001E-2</v>
      </c>
      <c r="G47" s="2">
        <f t="shared" si="1"/>
        <v>-133.68658694673101</v>
      </c>
      <c r="H47" s="7">
        <f t="shared" si="2"/>
        <v>-0.12998314067913957</v>
      </c>
      <c r="I47" s="9">
        <v>2.2540000000000001E-2</v>
      </c>
      <c r="J47" s="2">
        <v>-16.2122463020293</v>
      </c>
      <c r="K47" s="13">
        <v>2.8113186813186899</v>
      </c>
      <c r="L47" s="9">
        <f t="shared" si="3"/>
        <v>5.4275000000000004E-2</v>
      </c>
      <c r="M47" s="2">
        <f t="shared" si="4"/>
        <v>1028.4917432233256</v>
      </c>
      <c r="N47" s="16">
        <f t="shared" si="5"/>
        <v>2.8113186813186899</v>
      </c>
    </row>
    <row r="48" spans="1:14" ht="17">
      <c r="A48" s="1" t="s">
        <v>49</v>
      </c>
      <c r="B48" s="6">
        <f t="shared" ref="B48" si="42">C48/12.01%</f>
        <v>155424.04738219985</v>
      </c>
      <c r="C48" s="2">
        <v>18666.4280906022</v>
      </c>
      <c r="D48" s="9">
        <v>8.9800000000000005E-2</v>
      </c>
      <c r="E48" s="2">
        <f t="shared" si="0"/>
        <v>3092.2534111684372</v>
      </c>
      <c r="F48" s="9">
        <v>2.2568000000000005E-2</v>
      </c>
      <c r="G48" s="2">
        <f t="shared" si="1"/>
        <v>-489.49125116469406</v>
      </c>
      <c r="H48" s="7">
        <f t="shared" si="2"/>
        <v>-0.15829596933963286</v>
      </c>
      <c r="I48" s="9">
        <v>2.2568000000000005E-2</v>
      </c>
      <c r="J48" s="2">
        <v>-19.906776745786299</v>
      </c>
      <c r="K48" s="13">
        <v>2.83807692307693</v>
      </c>
      <c r="L48" s="9">
        <f t="shared" si="3"/>
        <v>5.8370000000000005E-2</v>
      </c>
      <c r="M48" s="2">
        <f t="shared" si="4"/>
        <v>3092.2534111684372</v>
      </c>
      <c r="N48" s="16">
        <f t="shared" si="5"/>
        <v>2.83807692307693</v>
      </c>
    </row>
    <row r="49" spans="1:14" ht="17">
      <c r="A49" s="1" t="s">
        <v>50</v>
      </c>
      <c r="B49" s="6">
        <f t="shared" ref="B49" si="43">C49/10.26%</f>
        <v>171392.6977932388</v>
      </c>
      <c r="C49" s="2">
        <v>17584.890793586299</v>
      </c>
      <c r="D49" s="9">
        <v>8.8700000000000001E-2</v>
      </c>
      <c r="E49" s="2">
        <f t="shared" si="0"/>
        <v>2904.53283822187</v>
      </c>
      <c r="F49" s="9">
        <v>2.2092000000000001E-2</v>
      </c>
      <c r="G49" s="2">
        <f t="shared" si="1"/>
        <v>-528.62505607456183</v>
      </c>
      <c r="H49" s="7">
        <f t="shared" si="2"/>
        <v>-0.18200002737727061</v>
      </c>
      <c r="I49" s="9">
        <v>2.2092000000000001E-2</v>
      </c>
      <c r="J49" s="2">
        <v>-23.6013071895423</v>
      </c>
      <c r="K49" s="13">
        <v>2.8648351648351702</v>
      </c>
      <c r="L49" s="9">
        <f t="shared" si="3"/>
        <v>5.7655000000000005E-2</v>
      </c>
      <c r="M49" s="2">
        <f t="shared" si="4"/>
        <v>2904.53283822187</v>
      </c>
      <c r="N49" s="16">
        <f t="shared" si="5"/>
        <v>2.8648351648351698</v>
      </c>
    </row>
    <row r="50" spans="1:14" ht="17">
      <c r="A50" s="1" t="s">
        <v>51</v>
      </c>
      <c r="B50" s="6">
        <f t="shared" ref="B50" si="44">C50/11.36%</f>
        <v>116555.35948741197</v>
      </c>
      <c r="C50" s="2">
        <v>13240.68883777</v>
      </c>
      <c r="D50" s="9">
        <v>5.9900000000000002E-2</v>
      </c>
      <c r="E50" s="2">
        <f t="shared" si="0"/>
        <v>1490.6922183847439</v>
      </c>
      <c r="F50" s="9">
        <v>1.4336000000000002E-2</v>
      </c>
      <c r="G50" s="2">
        <f t="shared" si="1"/>
        <v>-201.73217783484498</v>
      </c>
      <c r="H50" s="7">
        <f t="shared" si="2"/>
        <v>-0.13532785329317282</v>
      </c>
      <c r="I50" s="9">
        <v>1.4336000000000002E-2</v>
      </c>
      <c r="J50" s="2">
        <v>-27.2958376332993</v>
      </c>
      <c r="K50" s="13">
        <v>2.8915934065934099</v>
      </c>
      <c r="L50" s="9">
        <f t="shared" si="3"/>
        <v>3.8935000000000004E-2</v>
      </c>
      <c r="M50" s="2">
        <f t="shared" si="4"/>
        <v>1490.6922183847439</v>
      </c>
      <c r="N50" s="16">
        <f t="shared" si="5"/>
        <v>2.8915934065934099</v>
      </c>
    </row>
    <row r="51" spans="1:14" ht="17">
      <c r="A51" s="1" t="s">
        <v>52</v>
      </c>
      <c r="B51" s="6">
        <f t="shared" ref="B51" si="45">C51/9.31%</f>
        <v>144320.72971987326</v>
      </c>
      <c r="C51" s="2">
        <v>13436.2599369202</v>
      </c>
      <c r="D51" s="9">
        <v>8.1100000000000005E-2</v>
      </c>
      <c r="E51" s="2">
        <f t="shared" si="0"/>
        <v>2067.0464173030336</v>
      </c>
      <c r="F51" s="9">
        <v>1.9964000000000003E-2</v>
      </c>
      <c r="G51" s="2">
        <f t="shared" si="1"/>
        <v>-438.21466126570306</v>
      </c>
      <c r="H51" s="7">
        <f t="shared" si="2"/>
        <v>-0.21200039708709636</v>
      </c>
      <c r="I51" s="9">
        <v>1.9964000000000003E-2</v>
      </c>
      <c r="J51" s="2">
        <v>-30.990368077055301</v>
      </c>
      <c r="K51" s="13">
        <v>2.9183516483516501</v>
      </c>
      <c r="L51" s="9">
        <f t="shared" si="3"/>
        <v>5.2715000000000005E-2</v>
      </c>
      <c r="M51" s="2">
        <f t="shared" si="4"/>
        <v>2067.0464173030336</v>
      </c>
      <c r="N51" s="16">
        <f t="shared" si="5"/>
        <v>2.9183516483516505</v>
      </c>
    </row>
    <row r="52" spans="1:14" ht="17">
      <c r="A52" s="1" t="s">
        <v>53</v>
      </c>
      <c r="B52" s="6">
        <f t="shared" ref="B52:B53" si="46">C52/12.1%</f>
        <v>117546.83007293801</v>
      </c>
      <c r="C52" s="2">
        <v>14223.166438825499</v>
      </c>
      <c r="D52" s="9">
        <v>7.4399999999999994E-2</v>
      </c>
      <c r="E52" s="2">
        <f t="shared" si="0"/>
        <v>2025.7417948210332</v>
      </c>
      <c r="F52" s="9">
        <v>1.8704000000000002E-2</v>
      </c>
      <c r="G52" s="2">
        <f t="shared" si="1"/>
        <v>-446.2287072902447</v>
      </c>
      <c r="H52" s="7">
        <f t="shared" si="2"/>
        <v>-0.22027916313474066</v>
      </c>
      <c r="I52" s="9">
        <v>1.8704000000000002E-2</v>
      </c>
      <c r="J52" s="2">
        <v>-34.684898520811302</v>
      </c>
      <c r="K52" s="13">
        <v>2.9451098901098902</v>
      </c>
      <c r="L52" s="9">
        <f t="shared" si="3"/>
        <v>4.836E-2</v>
      </c>
      <c r="M52" s="2">
        <f t="shared" si="4"/>
        <v>2025.7417948210332</v>
      </c>
      <c r="N52" s="16">
        <f t="shared" si="5"/>
        <v>2.9451098901098902</v>
      </c>
    </row>
    <row r="53" spans="1:14" ht="17">
      <c r="A53" s="1" t="s">
        <v>54</v>
      </c>
      <c r="B53" s="6">
        <f t="shared" si="46"/>
        <v>85994.650570053724</v>
      </c>
      <c r="C53" s="2">
        <v>10405.352718976501</v>
      </c>
      <c r="D53" s="9">
        <v>8.0860000000000001E-2</v>
      </c>
      <c r="E53" s="2">
        <f t="shared" si="0"/>
        <v>1625.299624517259</v>
      </c>
      <c r="F53" s="9">
        <v>1.9504800000000003E-2</v>
      </c>
      <c r="G53" s="2">
        <f t="shared" si="1"/>
        <v>-409.39629711687894</v>
      </c>
      <c r="H53" s="7">
        <f t="shared" si="2"/>
        <v>-0.2518897383234654</v>
      </c>
      <c r="I53" s="9">
        <v>1.9504800000000003E-2</v>
      </c>
      <c r="J53" s="2">
        <v>-38.379428964568298</v>
      </c>
      <c r="K53" s="13">
        <v>2.9718681318681401</v>
      </c>
      <c r="L53" s="9">
        <f t="shared" si="3"/>
        <v>5.2559000000000002E-2</v>
      </c>
      <c r="M53" s="2">
        <f t="shared" si="4"/>
        <v>1625.299624517259</v>
      </c>
      <c r="N53" s="16">
        <f t="shared" si="5"/>
        <v>2.9718681318681406</v>
      </c>
    </row>
    <row r="54" spans="1:14" ht="17">
      <c r="A54" s="1" t="s">
        <v>55</v>
      </c>
      <c r="B54" s="6">
        <f t="shared" ref="B54" si="47">C54/11.09%</f>
        <v>109685.32265522002</v>
      </c>
      <c r="C54" s="2">
        <v>12164.1022824639</v>
      </c>
      <c r="D54" s="9">
        <v>7.0277142857142899E-2</v>
      </c>
      <c r="E54" s="2">
        <f t="shared" si="0"/>
        <v>1666.2105235881986</v>
      </c>
      <c r="F54" s="9">
        <v>1.6625600000000015E-2</v>
      </c>
      <c r="G54" s="2">
        <f t="shared" si="1"/>
        <v>-388.68540004438313</v>
      </c>
      <c r="H54" s="7">
        <f t="shared" si="2"/>
        <v>-0.23327508411562892</v>
      </c>
      <c r="I54" s="9">
        <v>1.6625600000000015E-2</v>
      </c>
      <c r="J54" s="2">
        <v>-42.073959408324299</v>
      </c>
      <c r="K54" s="13">
        <v>2.9986263736263798</v>
      </c>
      <c r="L54" s="9">
        <f t="shared" si="3"/>
        <v>4.5680142857142884E-2</v>
      </c>
      <c r="M54" s="2">
        <f t="shared" si="4"/>
        <v>1666.2105235881986</v>
      </c>
      <c r="N54" s="16">
        <f t="shared" si="5"/>
        <v>2.9986263736263798</v>
      </c>
    </row>
    <row r="55" spans="1:14" ht="17">
      <c r="A55" s="1" t="s">
        <v>56</v>
      </c>
      <c r="B55" s="6">
        <f t="shared" ref="B55" si="48">C55/12.01%</f>
        <v>148054.95943690508</v>
      </c>
      <c r="C55" s="2">
        <v>17781.400628372299</v>
      </c>
      <c r="D55" s="9">
        <v>8.9694285714285699E-2</v>
      </c>
      <c r="E55" s="2">
        <f t="shared" si="0"/>
        <v>3136.3512407727062</v>
      </c>
      <c r="F55" s="9">
        <v>2.2146399999999997E-2</v>
      </c>
      <c r="G55" s="2">
        <f t="shared" si="1"/>
        <v>-1050.7848970996233</v>
      </c>
      <c r="H55" s="7">
        <f t="shared" si="2"/>
        <v>-0.335034189869863</v>
      </c>
      <c r="I55" s="9">
        <v>2.2146399999999997E-2</v>
      </c>
      <c r="J55" s="2">
        <v>-45.768489852081302</v>
      </c>
      <c r="K55" s="13">
        <v>3.02538461538462</v>
      </c>
      <c r="L55" s="9">
        <f t="shared" si="3"/>
        <v>5.8301285714285708E-2</v>
      </c>
      <c r="M55" s="2">
        <f t="shared" si="4"/>
        <v>3136.3512407727062</v>
      </c>
      <c r="N55" s="16">
        <f t="shared" si="5"/>
        <v>3.0253846153846204</v>
      </c>
    </row>
    <row r="56" spans="1:14" ht="17">
      <c r="A56" s="1" t="s">
        <v>57</v>
      </c>
      <c r="B56" s="6">
        <f t="shared" ref="B56" si="49">C56/10.26%</f>
        <v>88494.889863925244</v>
      </c>
      <c r="C56" s="2">
        <v>9079.5757000387293</v>
      </c>
      <c r="D56" s="9">
        <v>7.7722539682539699E-2</v>
      </c>
      <c r="E56" s="2">
        <f t="shared" si="0"/>
        <v>1400.0087529768487</v>
      </c>
      <c r="F56" s="9">
        <v>2.3718311111111123E-2</v>
      </c>
      <c r="G56" s="2">
        <f t="shared" si="1"/>
        <v>-538.13381978110669</v>
      </c>
      <c r="H56" s="7">
        <f t="shared" si="2"/>
        <v>-0.38437889665823083</v>
      </c>
      <c r="I56" s="9">
        <v>2.3718311111111123E-2</v>
      </c>
      <c r="J56" s="2">
        <v>-49.463020295837303</v>
      </c>
      <c r="K56" s="13">
        <v>3.0521428571428602</v>
      </c>
      <c r="L56" s="9">
        <f t="shared" si="3"/>
        <v>5.0519650793650804E-2</v>
      </c>
      <c r="M56" s="2">
        <f t="shared" si="4"/>
        <v>1400.0087529768487</v>
      </c>
      <c r="N56" s="16">
        <f t="shared" si="5"/>
        <v>3.0521428571428606</v>
      </c>
    </row>
    <row r="57" spans="1:14" ht="17">
      <c r="A57" s="1" t="s">
        <v>58</v>
      </c>
      <c r="B57" s="6">
        <f t="shared" ref="B57" si="50">C57/11.36%</f>
        <v>84204.8116691779</v>
      </c>
      <c r="C57" s="2">
        <v>9565.6666056186095</v>
      </c>
      <c r="D57" s="9">
        <v>7.8639682539682607E-2</v>
      </c>
      <c r="E57" s="2">
        <f t="shared" si="0"/>
        <v>1505.4491372734844</v>
      </c>
      <c r="F57" s="9">
        <v>1.9443111111111133E-2</v>
      </c>
      <c r="G57" s="2">
        <f t="shared" si="1"/>
        <v>-505.3602386007741</v>
      </c>
      <c r="H57" s="7">
        <f t="shared" si="2"/>
        <v>-0.33568735474918193</v>
      </c>
      <c r="I57" s="9">
        <v>1.9443111111111133E-2</v>
      </c>
      <c r="J57" s="2">
        <v>-53.157550739594299</v>
      </c>
      <c r="K57" s="13">
        <v>3.0789010989010999</v>
      </c>
      <c r="L57" s="9">
        <f t="shared" si="3"/>
        <v>5.1115793650793696E-2</v>
      </c>
      <c r="M57" s="2">
        <f t="shared" si="4"/>
        <v>1505.4491372734844</v>
      </c>
      <c r="N57" s="16">
        <f t="shared" si="5"/>
        <v>3.0789010989011008</v>
      </c>
    </row>
    <row r="58" spans="1:14" ht="17">
      <c r="A58" s="1" t="s">
        <v>59</v>
      </c>
      <c r="B58" s="6">
        <f t="shared" ref="B58" si="51">C58/9.31%</f>
        <v>184374.65016208915</v>
      </c>
      <c r="C58" s="2">
        <v>17165.279930090499</v>
      </c>
      <c r="D58" s="9">
        <v>7.9556825396825404E-2</v>
      </c>
      <c r="E58" s="2">
        <f t="shared" si="0"/>
        <v>2756.738097223244</v>
      </c>
      <c r="F58" s="9">
        <v>1.9531911111111112E-2</v>
      </c>
      <c r="G58" s="2">
        <f t="shared" si="1"/>
        <v>-985.67285963246377</v>
      </c>
      <c r="H58" s="7">
        <f t="shared" ref="H58:H121" si="52">G58/E58</f>
        <v>-0.35755041823715283</v>
      </c>
      <c r="I58" s="9">
        <v>1.9531911111111112E-2</v>
      </c>
      <c r="J58" s="2">
        <v>-56.8520811833503</v>
      </c>
      <c r="K58" s="13">
        <v>3.1056593406593498</v>
      </c>
      <c r="L58" s="9">
        <f t="shared" ref="L58:L121" si="53">D58*65%</f>
        <v>5.1711936507936512E-2</v>
      </c>
      <c r="M58" s="2">
        <f t="shared" ref="M58:M121" si="54">C58*L58*K58</f>
        <v>2756.738097223244</v>
      </c>
      <c r="N58" s="16">
        <f t="shared" si="5"/>
        <v>3.1056593406593498</v>
      </c>
    </row>
    <row r="59" spans="1:14" ht="17">
      <c r="A59" s="1" t="s">
        <v>60</v>
      </c>
      <c r="B59" s="6">
        <f t="shared" ref="B59:B60" si="55">C59/12.1%</f>
        <v>38728.228496877273</v>
      </c>
      <c r="C59" s="2">
        <v>4686.1156481221497</v>
      </c>
      <c r="D59" s="9">
        <v>8.0473968253968298E-2</v>
      </c>
      <c r="E59" s="2">
        <f t="shared" si="0"/>
        <v>767.82355184282881</v>
      </c>
      <c r="F59" s="9">
        <v>2.0096711111111127E-2</v>
      </c>
      <c r="G59" s="2">
        <f t="shared" si="1"/>
        <v>-298.26109615237993</v>
      </c>
      <c r="H59" s="7">
        <f t="shared" si="52"/>
        <v>-0.3884500487599436</v>
      </c>
      <c r="I59" s="9">
        <v>2.0096711111111127E-2</v>
      </c>
      <c r="J59" s="2">
        <v>-60.546611627107303</v>
      </c>
      <c r="K59" s="13">
        <v>3.1324175824175899</v>
      </c>
      <c r="L59" s="9">
        <f t="shared" si="53"/>
        <v>5.2308079365079398E-2</v>
      </c>
      <c r="M59" s="2">
        <f t="shared" si="54"/>
        <v>767.82355184282881</v>
      </c>
      <c r="N59" s="16">
        <f t="shared" si="5"/>
        <v>3.1324175824175899</v>
      </c>
    </row>
    <row r="60" spans="1:14" ht="17">
      <c r="A60" s="1" t="s">
        <v>61</v>
      </c>
      <c r="B60" s="6">
        <f t="shared" si="55"/>
        <v>32201.752433929672</v>
      </c>
      <c r="C60" s="2">
        <v>3896.41204450549</v>
      </c>
      <c r="D60" s="9">
        <v>8.1391111111111095E-2</v>
      </c>
      <c r="E60" s="2">
        <f t="shared" si="0"/>
        <v>651.22191696077198</v>
      </c>
      <c r="F60" s="9">
        <v>2.0045511111111112E-2</v>
      </c>
      <c r="G60" s="2">
        <f t="shared" si="1"/>
        <v>-265.45175345005583</v>
      </c>
      <c r="H60" s="7">
        <f t="shared" si="52"/>
        <v>-0.40762103752421158</v>
      </c>
      <c r="I60" s="9">
        <v>2.0045511111111112E-2</v>
      </c>
      <c r="J60" s="2">
        <v>-64.241142070863305</v>
      </c>
      <c r="K60" s="13">
        <v>3.1591758241758301</v>
      </c>
      <c r="L60" s="9">
        <f t="shared" si="53"/>
        <v>5.2904222222222214E-2</v>
      </c>
      <c r="M60" s="2">
        <f t="shared" si="54"/>
        <v>651.22191696077198</v>
      </c>
      <c r="N60" s="16">
        <f t="shared" si="5"/>
        <v>3.1591758241758296</v>
      </c>
    </row>
    <row r="61" spans="1:14" ht="17">
      <c r="A61" s="1" t="s">
        <v>62</v>
      </c>
      <c r="B61" s="6">
        <f t="shared" ref="B61" si="56">C61/11.09%</f>
        <v>116907.91015497386</v>
      </c>
      <c r="C61" s="2">
        <v>12965.0872361866</v>
      </c>
      <c r="D61" s="9">
        <v>8.2308253968254003E-2</v>
      </c>
      <c r="E61" s="2">
        <f t="shared" si="0"/>
        <v>2209.8814304427301</v>
      </c>
      <c r="F61" s="9">
        <v>2.3718311111111123E-2</v>
      </c>
      <c r="G61" s="2">
        <f t="shared" si="1"/>
        <v>-1117.6706054731774</v>
      </c>
      <c r="H61" s="7">
        <f t="shared" si="52"/>
        <v>-0.50576044039125756</v>
      </c>
      <c r="I61" s="9">
        <v>2.3718311111111123E-2</v>
      </c>
      <c r="J61" s="2">
        <v>-67.935672514620293</v>
      </c>
      <c r="K61" s="13">
        <v>3.1859340659340698</v>
      </c>
      <c r="L61" s="9">
        <f t="shared" si="53"/>
        <v>5.3500365079365106E-2</v>
      </c>
      <c r="M61" s="2">
        <f t="shared" si="54"/>
        <v>2209.8814304427301</v>
      </c>
      <c r="N61" s="16">
        <f t="shared" si="5"/>
        <v>3.1859340659340698</v>
      </c>
    </row>
    <row r="62" spans="1:14" ht="17">
      <c r="A62" s="1" t="s">
        <v>63</v>
      </c>
      <c r="B62" s="6">
        <f t="shared" ref="B62" si="57">C62/12.01%</f>
        <v>130728.2160947627</v>
      </c>
      <c r="C62" s="2">
        <v>15700.458752981</v>
      </c>
      <c r="D62" s="9">
        <v>8.32253968253968E-2</v>
      </c>
      <c r="E62" s="2">
        <f t="shared" si="0"/>
        <v>2728.6680574278234</v>
      </c>
      <c r="F62" s="9">
        <v>2.0167111111111104E-2</v>
      </c>
      <c r="G62" s="2">
        <f t="shared" si="1"/>
        <v>-1226.9346914393807</v>
      </c>
      <c r="H62" s="7">
        <f t="shared" si="52"/>
        <v>-0.44964600516339448</v>
      </c>
      <c r="I62" s="9">
        <v>2.0167111111111104E-2</v>
      </c>
      <c r="J62" s="2">
        <v>-71.630202958376302</v>
      </c>
      <c r="K62" s="13">
        <v>3.21269230769231</v>
      </c>
      <c r="L62" s="9">
        <f t="shared" si="53"/>
        <v>5.4096507936507922E-2</v>
      </c>
      <c r="M62" s="2">
        <f t="shared" si="54"/>
        <v>2728.6680574278234</v>
      </c>
      <c r="N62" s="16">
        <f t="shared" si="5"/>
        <v>3.21269230769231</v>
      </c>
    </row>
    <row r="63" spans="1:14" ht="17">
      <c r="A63" s="1" t="s">
        <v>64</v>
      </c>
      <c r="B63" s="6">
        <f t="shared" ref="B63" si="58">C63/10.26%</f>
        <v>159152.98253688304</v>
      </c>
      <c r="C63" s="2">
        <v>16329.096008284199</v>
      </c>
      <c r="D63" s="9">
        <v>8.4142539682539694E-2</v>
      </c>
      <c r="E63" s="2">
        <f t="shared" si="0"/>
        <v>2893.0935041069351</v>
      </c>
      <c r="F63" s="9">
        <v>2.0507911111111117E-2</v>
      </c>
      <c r="G63" s="2">
        <f t="shared" si="1"/>
        <v>-1379.5903408593742</v>
      </c>
      <c r="H63" s="7">
        <f t="shared" si="52"/>
        <v>-0.47685646485360933</v>
      </c>
      <c r="I63" s="9">
        <v>2.0507911111111117E-2</v>
      </c>
      <c r="J63" s="2">
        <v>-75.324733402132296</v>
      </c>
      <c r="K63" s="13">
        <v>3.2394505494505501</v>
      </c>
      <c r="L63" s="9">
        <f t="shared" si="53"/>
        <v>5.46926507936508E-2</v>
      </c>
      <c r="M63" s="2">
        <f t="shared" si="54"/>
        <v>2893.0935041069351</v>
      </c>
      <c r="N63" s="16">
        <f t="shared" si="5"/>
        <v>3.2394505494505501</v>
      </c>
    </row>
    <row r="64" spans="1:14" ht="17">
      <c r="A64" s="1" t="s">
        <v>64</v>
      </c>
      <c r="B64" s="6">
        <f t="shared" ref="B64" si="59">C64/11.36%</f>
        <v>139326.88115558188</v>
      </c>
      <c r="C64" s="2">
        <v>15827.533699274099</v>
      </c>
      <c r="D64" s="9">
        <v>8.5059682539682602E-2</v>
      </c>
      <c r="E64" s="2">
        <f t="shared" si="0"/>
        <v>2858.2111192967309</v>
      </c>
      <c r="F64" s="9">
        <v>2.084871111111113E-2</v>
      </c>
      <c r="G64" s="2">
        <f t="shared" si="1"/>
        <v>-1441.6590149832266</v>
      </c>
      <c r="H64" s="7">
        <f t="shared" si="52"/>
        <v>-0.50439206720948937</v>
      </c>
      <c r="I64" s="9">
        <v>2.084871111111113E-2</v>
      </c>
      <c r="J64" s="2">
        <v>-79.019263845889299</v>
      </c>
      <c r="K64" s="13">
        <v>3.2662087912088</v>
      </c>
      <c r="L64" s="9">
        <f t="shared" si="53"/>
        <v>5.5288793650793693E-2</v>
      </c>
      <c r="M64" s="2">
        <f t="shared" si="54"/>
        <v>2858.2111192967309</v>
      </c>
      <c r="N64" s="16">
        <f t="shared" si="5"/>
        <v>3.2662087912088005</v>
      </c>
    </row>
    <row r="65" spans="1:14" ht="17">
      <c r="A65" s="1" t="s">
        <v>65</v>
      </c>
      <c r="B65" s="6">
        <f t="shared" ref="B65" si="60">C65/9.31%</f>
        <v>151541.74500093234</v>
      </c>
      <c r="C65" s="2">
        <v>14108.5364595868</v>
      </c>
      <c r="D65" s="9">
        <v>8.5976825396825399E-2</v>
      </c>
      <c r="E65" s="2">
        <f t="shared" si="0"/>
        <v>2596.3552164101702</v>
      </c>
      <c r="F65" s="9">
        <v>2.3233511111111112E-2</v>
      </c>
      <c r="G65" s="2">
        <f t="shared" si="1"/>
        <v>-1515.1984474334245</v>
      </c>
      <c r="H65" s="7">
        <f t="shared" si="52"/>
        <v>-0.58358672875601414</v>
      </c>
      <c r="I65" s="9">
        <v>2.3233511111111112E-2</v>
      </c>
      <c r="J65" s="2">
        <v>-82.713794289645307</v>
      </c>
      <c r="K65" s="13">
        <v>3.2929670329670402</v>
      </c>
      <c r="L65" s="9">
        <f t="shared" si="53"/>
        <v>5.5884936507936508E-2</v>
      </c>
      <c r="M65" s="2">
        <f t="shared" si="54"/>
        <v>2596.3552164101702</v>
      </c>
      <c r="N65" s="16">
        <f t="shared" si="5"/>
        <v>3.2929670329670406</v>
      </c>
    </row>
    <row r="66" spans="1:14" ht="17">
      <c r="A66" s="1" t="s">
        <v>66</v>
      </c>
      <c r="B66" s="6">
        <f t="shared" ref="B66:B67" si="61">C66/12.1%</f>
        <v>60197.396569040007</v>
      </c>
      <c r="C66" s="2">
        <v>7283.8849848538403</v>
      </c>
      <c r="D66" s="9">
        <v>8.6893968253968307E-2</v>
      </c>
      <c r="E66" s="2">
        <f t="shared" si="0"/>
        <v>1365.7405747987411</v>
      </c>
      <c r="F66" s="9">
        <v>2.1754311111111129E-2</v>
      </c>
      <c r="G66" s="2">
        <f t="shared" si="1"/>
        <v>-773.33379144087871</v>
      </c>
      <c r="H66" s="7">
        <f t="shared" si="52"/>
        <v>-0.56623769236323607</v>
      </c>
      <c r="I66" s="9">
        <v>2.1754311111111129E-2</v>
      </c>
      <c r="J66" s="2">
        <v>-86.408324733402296</v>
      </c>
      <c r="K66" s="13">
        <v>3.3197252747252799</v>
      </c>
      <c r="L66" s="9">
        <f t="shared" si="53"/>
        <v>5.6481079365079401E-2</v>
      </c>
      <c r="M66" s="2">
        <f t="shared" si="54"/>
        <v>1365.7405747987411</v>
      </c>
      <c r="N66" s="16">
        <f t="shared" si="5"/>
        <v>3.3197252747252795</v>
      </c>
    </row>
    <row r="67" spans="1:14" ht="17">
      <c r="A67" s="1" t="s">
        <v>67</v>
      </c>
      <c r="B67" s="6">
        <f t="shared" si="61"/>
        <v>80758.887674952159</v>
      </c>
      <c r="C67" s="2">
        <v>9771.8254086692104</v>
      </c>
      <c r="D67" s="9">
        <v>8.7811111111111104E-2</v>
      </c>
      <c r="E67" s="2">
        <f t="shared" ref="E67:E130" si="62">C67*L67*K67</f>
        <v>1866.4966647953333</v>
      </c>
      <c r="F67" s="9">
        <v>2.1843111111111112E-2</v>
      </c>
      <c r="G67" s="2">
        <f t="shared" ref="G67:G130" si="63">C67*L67*F67*J67</f>
        <v>-1097.7199978839169</v>
      </c>
      <c r="H67" s="7">
        <f t="shared" si="52"/>
        <v>-0.58811784590265259</v>
      </c>
      <c r="I67" s="9">
        <v>2.1843111111111112E-2</v>
      </c>
      <c r="J67" s="2">
        <v>-90.102855177158304</v>
      </c>
      <c r="K67" s="13">
        <v>3.34648351648352</v>
      </c>
      <c r="L67" s="9">
        <f t="shared" si="53"/>
        <v>5.7077222222222217E-2</v>
      </c>
      <c r="M67" s="2">
        <f t="shared" si="54"/>
        <v>1866.4966647953333</v>
      </c>
      <c r="N67" s="16">
        <f t="shared" ref="N67:N130" si="64">J67*I67/H67</f>
        <v>3.34648351648352</v>
      </c>
    </row>
    <row r="68" spans="1:14" ht="17">
      <c r="A68" s="1" t="s">
        <v>68</v>
      </c>
      <c r="B68" s="6">
        <f t="shared" ref="B68" si="65">C68/11.09%</f>
        <v>156598.49235271235</v>
      </c>
      <c r="C68" s="2">
        <v>17366.772801915798</v>
      </c>
      <c r="D68" s="9">
        <v>8.8728253968253998E-2</v>
      </c>
      <c r="E68" s="2">
        <f t="shared" si="62"/>
        <v>3378.6397143405347</v>
      </c>
      <c r="F68" s="9">
        <v>2.2407911111111123E-2</v>
      </c>
      <c r="G68" s="2">
        <f t="shared" si="63"/>
        <v>-2105.166844342577</v>
      </c>
      <c r="H68" s="7">
        <f t="shared" si="52"/>
        <v>-0.62308118720302119</v>
      </c>
      <c r="I68" s="9">
        <v>2.2407911111111123E-2</v>
      </c>
      <c r="J68" s="2">
        <v>-93.797385620915307</v>
      </c>
      <c r="K68" s="13">
        <v>3.3732417582417602</v>
      </c>
      <c r="L68" s="9">
        <f t="shared" si="53"/>
        <v>5.7673365079365102E-2</v>
      </c>
      <c r="M68" s="2">
        <f t="shared" si="54"/>
        <v>3378.6397143405347</v>
      </c>
      <c r="N68" s="16">
        <f t="shared" si="64"/>
        <v>3.3732417582417606</v>
      </c>
    </row>
    <row r="69" spans="1:14" ht="17">
      <c r="A69" s="1" t="s">
        <v>69</v>
      </c>
      <c r="B69" s="6">
        <f t="shared" ref="B69" si="66">C69/12.01%</f>
        <v>79006.789294596078</v>
      </c>
      <c r="C69" s="2">
        <v>9488.7153942809891</v>
      </c>
      <c r="D69" s="9">
        <v>8.9645396825396795E-2</v>
      </c>
      <c r="E69" s="2">
        <f t="shared" si="62"/>
        <v>1879.8694417126912</v>
      </c>
      <c r="F69" s="9">
        <v>2.2356711111111108E-2</v>
      </c>
      <c r="G69" s="2">
        <f t="shared" si="63"/>
        <v>-1205.1061203580196</v>
      </c>
      <c r="H69" s="7">
        <f t="shared" si="52"/>
        <v>-0.64105841268427899</v>
      </c>
      <c r="I69" s="9">
        <v>2.2356711111111108E-2</v>
      </c>
      <c r="J69" s="2">
        <v>-97.491916064671301</v>
      </c>
      <c r="K69" s="13">
        <v>3.4</v>
      </c>
      <c r="L69" s="9">
        <f t="shared" si="53"/>
        <v>5.8269507936507918E-2</v>
      </c>
      <c r="M69" s="2">
        <f t="shared" si="54"/>
        <v>1879.8694417126912</v>
      </c>
      <c r="N69" s="16">
        <f t="shared" si="64"/>
        <v>3.3999999999999995</v>
      </c>
    </row>
    <row r="70" spans="1:14" ht="17">
      <c r="A70" s="1" t="s">
        <v>69</v>
      </c>
      <c r="B70" s="6">
        <f t="shared" ref="B70" si="67">C70/10.26%</f>
        <v>88009.981812478465</v>
      </c>
      <c r="C70" s="2">
        <v>9029.8241339602901</v>
      </c>
      <c r="D70" s="9">
        <v>9.0562539682539703E-2</v>
      </c>
      <c r="E70" s="2">
        <f t="shared" si="62"/>
        <v>1821.4812613348047</v>
      </c>
      <c r="F70" s="9">
        <v>2.3229511111111115E-2</v>
      </c>
      <c r="G70" s="2">
        <f t="shared" si="63"/>
        <v>-1249.4061979046</v>
      </c>
      <c r="H70" s="7">
        <f t="shared" si="52"/>
        <v>-0.68592865840904627</v>
      </c>
      <c r="I70" s="9">
        <v>2.3229511111111115E-2</v>
      </c>
      <c r="J70" s="2">
        <v>-101.18644650842801</v>
      </c>
      <c r="K70" s="13">
        <v>3.4267582417582498</v>
      </c>
      <c r="L70" s="9">
        <f t="shared" si="53"/>
        <v>5.886565079365081E-2</v>
      </c>
      <c r="M70" s="2">
        <f t="shared" si="54"/>
        <v>1821.4812613348047</v>
      </c>
      <c r="N70" s="16">
        <f t="shared" si="64"/>
        <v>3.4267582417582498</v>
      </c>
    </row>
    <row r="71" spans="1:14" ht="17">
      <c r="A71" s="1" t="s">
        <v>70</v>
      </c>
      <c r="B71" s="6">
        <f t="shared" ref="B71" si="68">C71/11.36%</f>
        <v>75822.87356792466</v>
      </c>
      <c r="C71" s="2">
        <v>8613.4784373162402</v>
      </c>
      <c r="D71" s="9">
        <v>9.1479682539682597E-2</v>
      </c>
      <c r="E71" s="2">
        <f t="shared" si="62"/>
        <v>1768.7974747018086</v>
      </c>
      <c r="F71" s="9">
        <v>2.2478311111111128E-2</v>
      </c>
      <c r="G71" s="2">
        <f t="shared" si="63"/>
        <v>-1207.4717483047564</v>
      </c>
      <c r="H71" s="7">
        <f t="shared" si="52"/>
        <v>-0.68265121675861573</v>
      </c>
      <c r="I71" s="9">
        <v>2.2478311111111128E-2</v>
      </c>
      <c r="J71" s="2">
        <v>-104.880976952184</v>
      </c>
      <c r="K71" s="13">
        <v>3.45351648351649</v>
      </c>
      <c r="L71" s="9">
        <f t="shared" si="53"/>
        <v>5.9461793650793689E-2</v>
      </c>
      <c r="M71" s="2">
        <f t="shared" si="54"/>
        <v>1768.7974747018086</v>
      </c>
      <c r="N71" s="16">
        <f t="shared" si="64"/>
        <v>3.45351648351649</v>
      </c>
    </row>
    <row r="72" spans="1:14" ht="17">
      <c r="A72" s="1" t="s">
        <v>71</v>
      </c>
      <c r="B72" s="6">
        <f t="shared" ref="B72" si="69">C72/9.31%</f>
        <v>197078.99160355853</v>
      </c>
      <c r="C72" s="2">
        <v>18348.0541182913</v>
      </c>
      <c r="D72" s="9">
        <v>9.2396825396825394E-2</v>
      </c>
      <c r="E72" s="2">
        <f t="shared" si="62"/>
        <v>3835.075749587782</v>
      </c>
      <c r="F72" s="9">
        <v>2.2819111111111113E-2</v>
      </c>
      <c r="G72" s="2">
        <f t="shared" si="63"/>
        <v>-2730.1782940228368</v>
      </c>
      <c r="H72" s="7">
        <f t="shared" si="52"/>
        <v>-0.71189683654000668</v>
      </c>
      <c r="I72" s="9">
        <v>2.2819111111111113E-2</v>
      </c>
      <c r="J72" s="2">
        <v>-108.57550739593999</v>
      </c>
      <c r="K72" s="13">
        <v>3.4802747252747301</v>
      </c>
      <c r="L72" s="9">
        <f t="shared" si="53"/>
        <v>6.0057936507936505E-2</v>
      </c>
      <c r="M72" s="2">
        <f t="shared" si="54"/>
        <v>3835.075749587782</v>
      </c>
      <c r="N72" s="16">
        <f t="shared" si="64"/>
        <v>3.4802747252747297</v>
      </c>
    </row>
    <row r="73" spans="1:14" ht="17">
      <c r="A73" s="1" t="s">
        <v>72</v>
      </c>
      <c r="B73" s="6">
        <f t="shared" ref="B73:B74" si="70">C73/12.1%</f>
        <v>84702.908782590908</v>
      </c>
      <c r="C73" s="2">
        <v>10249.0519626935</v>
      </c>
      <c r="D73" s="9">
        <v>9.3313968253968302E-2</v>
      </c>
      <c r="E73" s="2">
        <f t="shared" si="62"/>
        <v>2180.1358605961732</v>
      </c>
      <c r="F73" s="9">
        <v>2.3159911111111126E-2</v>
      </c>
      <c r="G73" s="2">
        <f t="shared" si="63"/>
        <v>-1616.3837192789933</v>
      </c>
      <c r="H73" s="7">
        <f t="shared" si="52"/>
        <v>-0.74141421573469368</v>
      </c>
      <c r="I73" s="9">
        <v>2.3159911111111126E-2</v>
      </c>
      <c r="J73" s="2">
        <v>-112.270037839697</v>
      </c>
      <c r="K73" s="13">
        <v>3.5070329670329699</v>
      </c>
      <c r="L73" s="9">
        <f t="shared" si="53"/>
        <v>6.0654079365079397E-2</v>
      </c>
      <c r="M73" s="2">
        <f t="shared" si="54"/>
        <v>2180.1358605961732</v>
      </c>
      <c r="N73" s="16">
        <f t="shared" si="64"/>
        <v>3.5070329670329699</v>
      </c>
    </row>
    <row r="74" spans="1:14" ht="17">
      <c r="A74" s="1" t="s">
        <v>73</v>
      </c>
      <c r="B74" s="6">
        <f t="shared" si="70"/>
        <v>184284.63771010248</v>
      </c>
      <c r="C74" s="2">
        <v>22298.441162922401</v>
      </c>
      <c r="D74" s="9">
        <v>9.4231111111111196E-2</v>
      </c>
      <c r="E74" s="2">
        <f t="shared" si="62"/>
        <v>4826.3971759406249</v>
      </c>
      <c r="F74" s="9">
        <v>2.5544711111111135E-2</v>
      </c>
      <c r="G74" s="2">
        <f t="shared" si="63"/>
        <v>-4045.8379453966063</v>
      </c>
      <c r="H74" s="7">
        <f t="shared" si="52"/>
        <v>-0.83827289754869916</v>
      </c>
      <c r="I74" s="9">
        <v>2.5544711111111135E-2</v>
      </c>
      <c r="J74" s="2">
        <v>-115.964568283453</v>
      </c>
      <c r="K74" s="13">
        <v>3.53379120879121</v>
      </c>
      <c r="L74" s="9">
        <f t="shared" si="53"/>
        <v>6.1250222222222282E-2</v>
      </c>
      <c r="M74" s="2">
        <f t="shared" si="54"/>
        <v>4826.3971759406249</v>
      </c>
      <c r="N74" s="16">
        <f t="shared" si="64"/>
        <v>3.53379120879121</v>
      </c>
    </row>
    <row r="75" spans="1:14" ht="17">
      <c r="A75" s="1" t="s">
        <v>74</v>
      </c>
      <c r="B75" s="6">
        <f t="shared" ref="B75" si="71">C75/11.09%</f>
        <v>83504.997830563385</v>
      </c>
      <c r="C75" s="2">
        <v>9260.7042594094801</v>
      </c>
      <c r="D75" s="9">
        <v>9.5148253968254007E-2</v>
      </c>
      <c r="E75" s="2">
        <f t="shared" si="62"/>
        <v>2039.2722844096047</v>
      </c>
      <c r="F75" s="9">
        <v>2.4065511111111122E-2</v>
      </c>
      <c r="G75" s="2">
        <f t="shared" si="63"/>
        <v>-1649.297543742777</v>
      </c>
      <c r="H75" s="7">
        <f t="shared" si="52"/>
        <v>-0.80876769441323992</v>
      </c>
      <c r="I75" s="9">
        <v>2.4065511111111122E-2</v>
      </c>
      <c r="J75" s="2">
        <v>-119.65909872720999</v>
      </c>
      <c r="K75" s="13">
        <v>3.5605494505494599</v>
      </c>
      <c r="L75" s="9">
        <f t="shared" si="53"/>
        <v>6.1846365079365105E-2</v>
      </c>
      <c r="M75" s="2">
        <f t="shared" si="54"/>
        <v>2039.2722844096047</v>
      </c>
      <c r="N75" s="16">
        <f t="shared" si="64"/>
        <v>3.5605494505494599</v>
      </c>
    </row>
    <row r="76" spans="1:14" ht="17">
      <c r="A76" s="1" t="s">
        <v>75</v>
      </c>
      <c r="B76" s="6">
        <f t="shared" ref="B76" si="72">C76/12.01%</f>
        <v>105677.21856119401</v>
      </c>
      <c r="C76" s="2">
        <v>12691.833949199399</v>
      </c>
      <c r="D76" s="9">
        <v>9.6065396825396901E-2</v>
      </c>
      <c r="E76" s="2">
        <f t="shared" si="62"/>
        <v>2842.9770115318483</v>
      </c>
      <c r="F76" s="9">
        <v>2.4154311111111135E-2</v>
      </c>
      <c r="G76" s="2">
        <f t="shared" si="63"/>
        <v>-2361.3007567366931</v>
      </c>
      <c r="H76" s="7">
        <f t="shared" si="52"/>
        <v>-0.83057328538312059</v>
      </c>
      <c r="I76" s="9">
        <v>2.4154311111111135E-2</v>
      </c>
      <c r="J76" s="2">
        <v>-123.353629170966</v>
      </c>
      <c r="K76" s="13">
        <v>3.5873076923077001</v>
      </c>
      <c r="L76" s="9">
        <f t="shared" si="53"/>
        <v>6.244250793650799E-2</v>
      </c>
      <c r="M76" s="2">
        <f t="shared" si="54"/>
        <v>2842.9770115318483</v>
      </c>
      <c r="N76" s="16">
        <f t="shared" si="64"/>
        <v>3.5873076923076996</v>
      </c>
    </row>
    <row r="77" spans="1:14" ht="17">
      <c r="A77" s="1" t="s">
        <v>76</v>
      </c>
      <c r="B77" s="6">
        <f t="shared" ref="B77" si="73">C77/10.26%</f>
        <v>85190.771989330606</v>
      </c>
      <c r="C77" s="2">
        <v>8740.5732061053204</v>
      </c>
      <c r="D77" s="9">
        <v>6.8777142857142898E-2</v>
      </c>
      <c r="E77" s="2">
        <f t="shared" si="62"/>
        <v>1412.1911094719981</v>
      </c>
      <c r="F77" s="9">
        <v>1.6821600000000013E-2</v>
      </c>
      <c r="G77" s="2">
        <f t="shared" si="63"/>
        <v>-835.08961254445524</v>
      </c>
      <c r="H77" s="7">
        <f t="shared" si="52"/>
        <v>-0.59134320202361679</v>
      </c>
      <c r="I77" s="9">
        <v>1.6821600000000013E-2</v>
      </c>
      <c r="J77" s="2">
        <v>-127.04815961472301</v>
      </c>
      <c r="K77" s="13">
        <v>3.6140659340659398</v>
      </c>
      <c r="L77" s="9">
        <f t="shared" si="53"/>
        <v>4.4705142857142888E-2</v>
      </c>
      <c r="M77" s="2">
        <f t="shared" si="54"/>
        <v>1412.1911094719981</v>
      </c>
      <c r="N77" s="16">
        <f t="shared" si="64"/>
        <v>3.6140659340659398</v>
      </c>
    </row>
    <row r="78" spans="1:14" ht="17">
      <c r="A78" s="1" t="s">
        <v>77</v>
      </c>
      <c r="B78" s="6">
        <f t="shared" ref="B78" si="74">C78/11.36%</f>
        <v>205046.09415380016</v>
      </c>
      <c r="C78" s="2">
        <v>23293.236295871699</v>
      </c>
      <c r="D78" s="9">
        <v>6.9602857142857105E-2</v>
      </c>
      <c r="E78" s="2">
        <f t="shared" si="62"/>
        <v>3836.8070793754505</v>
      </c>
      <c r="F78" s="9">
        <v>1.674479999999999E-2</v>
      </c>
      <c r="G78" s="2">
        <f t="shared" si="63"/>
        <v>-2307.1064722841015</v>
      </c>
      <c r="H78" s="7">
        <f t="shared" si="52"/>
        <v>-0.60130895939121565</v>
      </c>
      <c r="I78" s="9">
        <v>1.674479999999999E-2</v>
      </c>
      <c r="J78" s="2">
        <v>-130.74269005847901</v>
      </c>
      <c r="K78" s="13">
        <v>3.6408241758241799</v>
      </c>
      <c r="L78" s="9">
        <f t="shared" si="53"/>
        <v>4.5241857142857118E-2</v>
      </c>
      <c r="M78" s="2">
        <f t="shared" si="54"/>
        <v>3836.8070793754505</v>
      </c>
      <c r="N78" s="16">
        <f t="shared" si="64"/>
        <v>3.6408241758241799</v>
      </c>
    </row>
    <row r="79" spans="1:14" ht="17">
      <c r="A79" s="1" t="s">
        <v>78</v>
      </c>
      <c r="B79" s="6">
        <f t="shared" ref="B79" si="75">C79/9.31%</f>
        <v>103569.28153666906</v>
      </c>
      <c r="C79" s="2">
        <v>9642.3001110638907</v>
      </c>
      <c r="D79" s="9">
        <v>7.0428571428571396E-2</v>
      </c>
      <c r="E79" s="2">
        <f t="shared" si="62"/>
        <v>1618.9102116319534</v>
      </c>
      <c r="F79" s="9">
        <v>1.7591999999999993E-2</v>
      </c>
      <c r="G79" s="2">
        <f t="shared" si="63"/>
        <v>-1043.9450073146618</v>
      </c>
      <c r="H79" s="7">
        <f t="shared" si="52"/>
        <v>-0.64484429081604588</v>
      </c>
      <c r="I79" s="9">
        <v>1.7591999999999993E-2</v>
      </c>
      <c r="J79" s="2">
        <v>-134.43722050223599</v>
      </c>
      <c r="K79" s="13">
        <v>3.6675824175824201</v>
      </c>
      <c r="L79" s="9">
        <f t="shared" si="53"/>
        <v>4.5778571428571412E-2</v>
      </c>
      <c r="M79" s="2">
        <f t="shared" si="54"/>
        <v>1618.9102116319534</v>
      </c>
      <c r="N79" s="16">
        <f t="shared" si="64"/>
        <v>3.6675824175824197</v>
      </c>
    </row>
    <row r="80" spans="1:14" ht="17">
      <c r="A80" s="1" t="s">
        <v>79</v>
      </c>
      <c r="B80" s="6">
        <f t="shared" ref="B80:B81" si="76">C80/12.1%</f>
        <v>116686.78798373966</v>
      </c>
      <c r="C80" s="2">
        <v>14119.101346032499</v>
      </c>
      <c r="D80" s="9">
        <v>8.5976825396825399E-2</v>
      </c>
      <c r="E80" s="2">
        <f t="shared" si="62"/>
        <v>2915.0013294907894</v>
      </c>
      <c r="F80" s="9">
        <v>2.0937511111111112E-2</v>
      </c>
      <c r="G80" s="2">
        <f t="shared" si="63"/>
        <v>-2282.0249544309563</v>
      </c>
      <c r="H80" s="7">
        <f t="shared" si="52"/>
        <v>-0.78285554498515264</v>
      </c>
      <c r="I80" s="9">
        <v>2.0937511111111112E-2</v>
      </c>
      <c r="J80" s="2">
        <v>-138.131750945992</v>
      </c>
      <c r="K80" s="13">
        <v>3.6943406593406598</v>
      </c>
      <c r="L80" s="9">
        <f t="shared" si="53"/>
        <v>5.5884936507936508E-2</v>
      </c>
      <c r="M80" s="2">
        <f t="shared" si="54"/>
        <v>2915.0013294907894</v>
      </c>
      <c r="N80" s="16">
        <f t="shared" si="64"/>
        <v>3.6943406593406594</v>
      </c>
    </row>
    <row r="81" spans="1:14" ht="17">
      <c r="A81" s="1" t="s">
        <v>80</v>
      </c>
      <c r="B81" s="6">
        <f t="shared" si="76"/>
        <v>119459.43221292231</v>
      </c>
      <c r="C81" s="2">
        <v>14454.5912977636</v>
      </c>
      <c r="D81" s="9">
        <v>8.6893968253968307E-2</v>
      </c>
      <c r="E81" s="2">
        <f t="shared" si="62"/>
        <v>3037.9457708522905</v>
      </c>
      <c r="F81" s="9">
        <v>2.1278311111111125E-2</v>
      </c>
      <c r="G81" s="2">
        <f t="shared" si="63"/>
        <v>-2463.7842500772531</v>
      </c>
      <c r="H81" s="7">
        <f t="shared" si="52"/>
        <v>-0.8110033673794127</v>
      </c>
      <c r="I81" s="9">
        <v>2.1278311111111125E-2</v>
      </c>
      <c r="J81" s="2">
        <v>-141.826281389748</v>
      </c>
      <c r="K81" s="13">
        <v>3.7210989010989102</v>
      </c>
      <c r="L81" s="9">
        <f t="shared" si="53"/>
        <v>5.6481079365079401E-2</v>
      </c>
      <c r="M81" s="2">
        <f t="shared" si="54"/>
        <v>3037.9457708522905</v>
      </c>
      <c r="N81" s="16">
        <f t="shared" si="64"/>
        <v>3.7210989010989097</v>
      </c>
    </row>
    <row r="82" spans="1:14" ht="17">
      <c r="A82" s="1" t="s">
        <v>81</v>
      </c>
      <c r="B82" s="6">
        <f t="shared" ref="B82" si="77">C82/11.09%</f>
        <v>139711.6672224653</v>
      </c>
      <c r="C82" s="2">
        <v>15494.0238949714</v>
      </c>
      <c r="D82" s="9">
        <v>8.7811111111111104E-2</v>
      </c>
      <c r="E82" s="2">
        <f t="shared" si="62"/>
        <v>3314.4393703971741</v>
      </c>
      <c r="F82" s="9">
        <v>2.1619111111111113E-2</v>
      </c>
      <c r="G82" s="2">
        <f t="shared" si="63"/>
        <v>-2782.2105495702981</v>
      </c>
      <c r="H82" s="7">
        <f t="shared" si="52"/>
        <v>-0.83942116257112342</v>
      </c>
      <c r="I82" s="9">
        <v>2.1619111111111113E-2</v>
      </c>
      <c r="J82" s="2">
        <v>-145.52081183350501</v>
      </c>
      <c r="K82" s="13">
        <v>3.7478571428571499</v>
      </c>
      <c r="L82" s="9">
        <f t="shared" si="53"/>
        <v>5.7077222222222217E-2</v>
      </c>
      <c r="M82" s="2">
        <f t="shared" si="54"/>
        <v>3314.4393703971741</v>
      </c>
      <c r="N82" s="16">
        <f t="shared" si="64"/>
        <v>3.7478571428571494</v>
      </c>
    </row>
    <row r="83" spans="1:14" ht="17">
      <c r="A83" s="1" t="s">
        <v>82</v>
      </c>
      <c r="B83" s="6">
        <f t="shared" ref="B83" si="78">C83/12.01%</f>
        <v>158925.18853759448</v>
      </c>
      <c r="C83" s="2">
        <v>19086.915143365099</v>
      </c>
      <c r="D83" s="9">
        <v>8.8728253968253998E-2</v>
      </c>
      <c r="E83" s="2">
        <f t="shared" si="62"/>
        <v>4155.1216233520736</v>
      </c>
      <c r="F83" s="9">
        <v>2.400391111111112E-2</v>
      </c>
      <c r="G83" s="2">
        <f t="shared" si="63"/>
        <v>-3942.8161253190947</v>
      </c>
      <c r="H83" s="7">
        <f t="shared" si="52"/>
        <v>-0.94890510620921242</v>
      </c>
      <c r="I83" s="9">
        <v>2.400391111111112E-2</v>
      </c>
      <c r="J83" s="2">
        <v>-149.21534227726099</v>
      </c>
      <c r="K83" s="13">
        <v>3.77461538461539</v>
      </c>
      <c r="L83" s="9">
        <f t="shared" si="53"/>
        <v>5.7673365079365102E-2</v>
      </c>
      <c r="M83" s="2">
        <f t="shared" si="54"/>
        <v>4155.1216233520736</v>
      </c>
      <c r="N83" s="16">
        <f t="shared" si="64"/>
        <v>3.77461538461539</v>
      </c>
    </row>
    <row r="84" spans="1:14" ht="17">
      <c r="A84" s="1" t="s">
        <v>83</v>
      </c>
      <c r="B84" s="6">
        <f t="shared" ref="B84" si="79">C84/10.26%</f>
        <v>129385.77705592787</v>
      </c>
      <c r="C84" s="2">
        <v>13274.9807259382</v>
      </c>
      <c r="D84" s="9">
        <v>8.9645396825396795E-2</v>
      </c>
      <c r="E84" s="2">
        <f t="shared" si="62"/>
        <v>2940.4635966460496</v>
      </c>
      <c r="F84" s="9">
        <v>2.2524711111111137E-2</v>
      </c>
      <c r="G84" s="2">
        <f t="shared" si="63"/>
        <v>-2664.2195225168584</v>
      </c>
      <c r="H84" s="7">
        <f t="shared" si="52"/>
        <v>-0.90605424449250771</v>
      </c>
      <c r="I84" s="9">
        <v>2.2524711111111137E-2</v>
      </c>
      <c r="J84" s="2">
        <v>-152.90987272101799</v>
      </c>
      <c r="K84" s="13">
        <v>3.8013736263736302</v>
      </c>
      <c r="L84" s="9">
        <f t="shared" si="53"/>
        <v>5.8269507936507918E-2</v>
      </c>
      <c r="M84" s="2">
        <f t="shared" si="54"/>
        <v>2940.4635966460496</v>
      </c>
      <c r="N84" s="16">
        <f t="shared" si="64"/>
        <v>3.8013736263736297</v>
      </c>
    </row>
    <row r="85" spans="1:14" ht="17">
      <c r="A85" s="1" t="s">
        <v>84</v>
      </c>
      <c r="B85" s="6">
        <f t="shared" ref="B85" si="80">C85/11.36%</f>
        <v>172574.52797048591</v>
      </c>
      <c r="C85" s="2">
        <v>19604.466377447199</v>
      </c>
      <c r="D85" s="9">
        <v>9.0562539682539703E-2</v>
      </c>
      <c r="E85" s="2">
        <f t="shared" si="62"/>
        <v>4417.777763275084</v>
      </c>
      <c r="F85" s="9">
        <v>2.261351111111112E-2</v>
      </c>
      <c r="G85" s="2">
        <f t="shared" si="63"/>
        <v>-4086.8523031910067</v>
      </c>
      <c r="H85" s="7">
        <f t="shared" si="52"/>
        <v>-0.92509232518777762</v>
      </c>
      <c r="I85" s="9">
        <v>2.261351111111112E-2</v>
      </c>
      <c r="J85" s="2">
        <v>-156.604403164774</v>
      </c>
      <c r="K85" s="13">
        <v>3.8281318681318699</v>
      </c>
      <c r="L85" s="9">
        <f t="shared" si="53"/>
        <v>5.886565079365081E-2</v>
      </c>
      <c r="M85" s="2">
        <f t="shared" si="54"/>
        <v>4417.777763275084</v>
      </c>
      <c r="N85" s="16">
        <f t="shared" si="64"/>
        <v>3.8281318681318695</v>
      </c>
    </row>
    <row r="86" spans="1:14" ht="17">
      <c r="A86" s="1" t="s">
        <v>85</v>
      </c>
      <c r="B86" s="6">
        <f t="shared" ref="B86" si="81">C86/9.31%</f>
        <v>147200.42806488293</v>
      </c>
      <c r="C86" s="2">
        <v>13704.3598528406</v>
      </c>
      <c r="D86" s="9">
        <v>9.1479682539682597E-2</v>
      </c>
      <c r="E86" s="2">
        <f t="shared" si="62"/>
        <v>3141.2952792868182</v>
      </c>
      <c r="F86" s="9">
        <v>2.3178311111111131E-2</v>
      </c>
      <c r="G86" s="2">
        <f t="shared" si="63"/>
        <v>-3027.6744818197753</v>
      </c>
      <c r="H86" s="7">
        <f t="shared" si="52"/>
        <v>-0.96382995313549813</v>
      </c>
      <c r="I86" s="9">
        <v>2.3178311111111131E-2</v>
      </c>
      <c r="J86" s="2">
        <v>-160.298933608531</v>
      </c>
      <c r="K86" s="13">
        <v>3.8548901098901101</v>
      </c>
      <c r="L86" s="9">
        <f t="shared" si="53"/>
        <v>5.9461793650793689E-2</v>
      </c>
      <c r="M86" s="2">
        <f t="shared" si="54"/>
        <v>3141.2952792868182</v>
      </c>
      <c r="N86" s="16">
        <f t="shared" si="64"/>
        <v>3.8548901098901096</v>
      </c>
    </row>
    <row r="87" spans="1:14" ht="17">
      <c r="A87" s="1" t="s">
        <v>86</v>
      </c>
      <c r="B87" s="6">
        <f t="shared" ref="B87:B88" si="82">C87/12.1%</f>
        <v>103051.95205858264</v>
      </c>
      <c r="C87" s="2">
        <v>12469.286199088499</v>
      </c>
      <c r="D87" s="9">
        <v>8.3500000000000005E-2</v>
      </c>
      <c r="E87" s="2">
        <f t="shared" si="62"/>
        <v>2626.9851285906238</v>
      </c>
      <c r="F87" s="9">
        <v>2.0636000000000002E-2</v>
      </c>
      <c r="G87" s="2">
        <f t="shared" si="63"/>
        <v>-2290.3058588728254</v>
      </c>
      <c r="H87" s="7">
        <f t="shared" si="52"/>
        <v>-0.87183815163109557</v>
      </c>
      <c r="I87" s="9">
        <v>2.0636000000000002E-2</v>
      </c>
      <c r="J87" s="2">
        <v>-163.99346405228701</v>
      </c>
      <c r="K87" s="13">
        <v>3.88164835164836</v>
      </c>
      <c r="L87" s="9">
        <f t="shared" si="53"/>
        <v>5.4275000000000004E-2</v>
      </c>
      <c r="M87" s="2">
        <f t="shared" si="54"/>
        <v>2626.9851285906238</v>
      </c>
      <c r="N87" s="16">
        <f t="shared" si="64"/>
        <v>3.88164835164836</v>
      </c>
    </row>
    <row r="88" spans="1:14" ht="17">
      <c r="A88" s="1" t="s">
        <v>87</v>
      </c>
      <c r="B88" s="6">
        <f t="shared" si="82"/>
        <v>75260.380522885374</v>
      </c>
      <c r="C88" s="2">
        <v>9106.5060432691298</v>
      </c>
      <c r="D88" s="9">
        <v>8.9800000000000005E-2</v>
      </c>
      <c r="E88" s="2">
        <f t="shared" si="62"/>
        <v>2077.5008526768788</v>
      </c>
      <c r="F88" s="9">
        <v>2.3016000000000002E-2</v>
      </c>
      <c r="G88" s="2">
        <f t="shared" si="63"/>
        <v>-2051.5083692630569</v>
      </c>
      <c r="H88" s="7">
        <f t="shared" si="52"/>
        <v>-0.98748858110920612</v>
      </c>
      <c r="I88" s="9">
        <v>2.3016000000000002E-2</v>
      </c>
      <c r="J88" s="2">
        <v>-167.68799449604401</v>
      </c>
      <c r="K88" s="13">
        <v>3.9084065934066001</v>
      </c>
      <c r="L88" s="9">
        <f t="shared" si="53"/>
        <v>5.8370000000000005E-2</v>
      </c>
      <c r="M88" s="2">
        <f t="shared" si="54"/>
        <v>2077.5008526768788</v>
      </c>
      <c r="N88" s="16">
        <f t="shared" si="64"/>
        <v>3.9084065934065997</v>
      </c>
    </row>
    <row r="89" spans="1:14" ht="17">
      <c r="A89" s="1" t="s">
        <v>88</v>
      </c>
      <c r="B89" s="6">
        <f t="shared" ref="B89" si="83">C89/11.09%</f>
        <v>85555.879502214884</v>
      </c>
      <c r="C89" s="2">
        <v>9488.1470367956299</v>
      </c>
      <c r="D89" s="9">
        <v>8.8700000000000001E-2</v>
      </c>
      <c r="E89" s="2">
        <f t="shared" si="62"/>
        <v>2152.6890982774803</v>
      </c>
      <c r="F89" s="9">
        <v>2.3718311111111123E-2</v>
      </c>
      <c r="G89" s="2">
        <f t="shared" si="63"/>
        <v>-2223.6615214086132</v>
      </c>
      <c r="H89" s="7">
        <f t="shared" si="52"/>
        <v>-1.0329691933628145</v>
      </c>
      <c r="I89" s="9">
        <v>2.3718311111111123E-2</v>
      </c>
      <c r="J89" s="2">
        <v>-171.38252493979999</v>
      </c>
      <c r="K89" s="13">
        <v>3.9351648351648398</v>
      </c>
      <c r="L89" s="9">
        <f t="shared" si="53"/>
        <v>5.7655000000000005E-2</v>
      </c>
      <c r="M89" s="2">
        <f t="shared" si="54"/>
        <v>2152.6890982774803</v>
      </c>
      <c r="N89" s="16">
        <f t="shared" si="64"/>
        <v>3.9351648351648398</v>
      </c>
    </row>
    <row r="90" spans="1:14" ht="17">
      <c r="A90" s="1" t="s">
        <v>89</v>
      </c>
      <c r="B90" s="6">
        <f t="shared" ref="B90" si="84">C90/12.01%</f>
        <v>131135.89295104248</v>
      </c>
      <c r="C90" s="2">
        <v>15749.4207434202</v>
      </c>
      <c r="D90" s="9">
        <v>5.9900000000000002E-2</v>
      </c>
      <c r="E90" s="2">
        <f t="shared" si="62"/>
        <v>2429.4658765926251</v>
      </c>
      <c r="F90" s="9">
        <v>1.3720000000000001E-2</v>
      </c>
      <c r="G90" s="2">
        <f t="shared" si="63"/>
        <v>-1472.9503545085201</v>
      </c>
      <c r="H90" s="7">
        <f t="shared" si="52"/>
        <v>-0.60628567320087767</v>
      </c>
      <c r="I90" s="9">
        <v>1.3720000000000001E-2</v>
      </c>
      <c r="J90" s="2">
        <v>-175.077055383557</v>
      </c>
      <c r="K90" s="13">
        <v>3.96192307692308</v>
      </c>
      <c r="L90" s="9">
        <f t="shared" si="53"/>
        <v>3.8935000000000004E-2</v>
      </c>
      <c r="M90" s="2">
        <f t="shared" si="54"/>
        <v>2429.4658765926251</v>
      </c>
      <c r="N90" s="16">
        <f t="shared" si="64"/>
        <v>3.96192307692308</v>
      </c>
    </row>
    <row r="91" spans="1:14" ht="17">
      <c r="A91" s="1" t="s">
        <v>90</v>
      </c>
      <c r="B91" s="6">
        <f t="shared" ref="B91" si="85">C91/10.26%</f>
        <v>77627.772479128558</v>
      </c>
      <c r="C91" s="2">
        <v>7964.6094563585903</v>
      </c>
      <c r="D91" s="9">
        <v>8.1100000000000005E-2</v>
      </c>
      <c r="E91" s="2">
        <f t="shared" si="62"/>
        <v>1674.6653519555016</v>
      </c>
      <c r="F91" s="9">
        <v>1.9740000000000001E-2</v>
      </c>
      <c r="G91" s="2">
        <f t="shared" si="63"/>
        <v>-1481.6456043559895</v>
      </c>
      <c r="H91" s="7">
        <f t="shared" si="52"/>
        <v>-0.88474130227025738</v>
      </c>
      <c r="I91" s="9">
        <v>1.9740000000000001E-2</v>
      </c>
      <c r="J91" s="2">
        <v>-178.771585827313</v>
      </c>
      <c r="K91" s="13">
        <v>3.9886813186813201</v>
      </c>
      <c r="L91" s="9">
        <f t="shared" si="53"/>
        <v>5.2715000000000005E-2</v>
      </c>
      <c r="M91" s="2">
        <f t="shared" si="54"/>
        <v>1674.6653519555016</v>
      </c>
      <c r="N91" s="16">
        <f t="shared" si="64"/>
        <v>3.9886813186813206</v>
      </c>
    </row>
    <row r="92" spans="1:14" ht="17">
      <c r="A92" s="1" t="s">
        <v>91</v>
      </c>
      <c r="B92" s="6">
        <f t="shared" ref="B92" si="86">C92/11.36%</f>
        <v>128457.28344542606</v>
      </c>
      <c r="C92" s="2">
        <v>14592.747399400399</v>
      </c>
      <c r="D92" s="9">
        <v>7.4399999999999994E-2</v>
      </c>
      <c r="E92" s="2">
        <f t="shared" si="62"/>
        <v>2833.7168360196924</v>
      </c>
      <c r="F92" s="9">
        <v>1.9992000000000003E-2</v>
      </c>
      <c r="G92" s="2">
        <f t="shared" si="63"/>
        <v>-2574.315837549816</v>
      </c>
      <c r="H92" s="7">
        <f t="shared" si="52"/>
        <v>-0.90845909683966963</v>
      </c>
      <c r="I92" s="9">
        <v>1.9992000000000003E-2</v>
      </c>
      <c r="J92" s="2">
        <v>-182.46611627106901</v>
      </c>
      <c r="K92" s="13">
        <v>4.0154395604395701</v>
      </c>
      <c r="L92" s="9">
        <f t="shared" si="53"/>
        <v>4.836E-2</v>
      </c>
      <c r="M92" s="2">
        <f t="shared" si="54"/>
        <v>2833.7168360196924</v>
      </c>
      <c r="N92" s="16">
        <f t="shared" si="64"/>
        <v>4.015439560439571</v>
      </c>
    </row>
    <row r="93" spans="1:14" ht="17">
      <c r="A93" s="1" t="s">
        <v>92</v>
      </c>
      <c r="B93" s="6">
        <f t="shared" ref="B93" si="87">C93/9.31%</f>
        <v>95323.74597535521</v>
      </c>
      <c r="C93" s="2">
        <v>8874.6407503055707</v>
      </c>
      <c r="D93" s="9">
        <v>8.0860000000000001E-2</v>
      </c>
      <c r="E93" s="2">
        <f t="shared" si="62"/>
        <v>1885.4518102963004</v>
      </c>
      <c r="F93" s="9">
        <v>2.0064800000000001E-2</v>
      </c>
      <c r="G93" s="2">
        <f t="shared" si="63"/>
        <v>-1742.2905836562761</v>
      </c>
      <c r="H93" s="7">
        <f t="shared" si="52"/>
        <v>-0.92407059896294752</v>
      </c>
      <c r="I93" s="9">
        <v>2.0064800000000001E-2</v>
      </c>
      <c r="J93" s="2">
        <v>-186.16064671482599</v>
      </c>
      <c r="K93" s="13">
        <v>4.0421978021978102</v>
      </c>
      <c r="L93" s="9">
        <f t="shared" si="53"/>
        <v>5.2559000000000002E-2</v>
      </c>
      <c r="M93" s="2">
        <f t="shared" si="54"/>
        <v>1885.4518102963004</v>
      </c>
      <c r="N93" s="16">
        <f t="shared" si="64"/>
        <v>4.0421978021978102</v>
      </c>
    </row>
    <row r="94" spans="1:14" ht="17">
      <c r="A94" s="1" t="s">
        <v>93</v>
      </c>
      <c r="B94" s="6">
        <f t="shared" ref="B94:B95" si="88">C94/12.1%</f>
        <v>79095.924964034799</v>
      </c>
      <c r="C94" s="2">
        <v>9570.6069206482098</v>
      </c>
      <c r="D94" s="9">
        <v>7.0277142857142899E-2</v>
      </c>
      <c r="E94" s="2">
        <f t="shared" si="62"/>
        <v>1778.8934301658317</v>
      </c>
      <c r="F94" s="9">
        <v>2.3718311111111123E-2</v>
      </c>
      <c r="G94" s="2">
        <f t="shared" si="63"/>
        <v>-1968.6709764627949</v>
      </c>
      <c r="H94" s="7">
        <f t="shared" si="52"/>
        <v>-1.106682920448625</v>
      </c>
      <c r="I94" s="9">
        <v>2.3718311111111123E-2</v>
      </c>
      <c r="J94" s="2">
        <v>-189.85517715858199</v>
      </c>
      <c r="K94" s="13">
        <v>4.0689560439560504</v>
      </c>
      <c r="L94" s="9">
        <f t="shared" si="53"/>
        <v>4.5680142857142884E-2</v>
      </c>
      <c r="M94" s="2">
        <f t="shared" si="54"/>
        <v>1778.8934301658317</v>
      </c>
      <c r="N94" s="16">
        <f t="shared" si="64"/>
        <v>4.0689560439560504</v>
      </c>
    </row>
    <row r="95" spans="1:14" ht="17">
      <c r="A95" s="1" t="s">
        <v>94</v>
      </c>
      <c r="B95" s="6">
        <f t="shared" si="88"/>
        <v>92765.213839855365</v>
      </c>
      <c r="C95" s="2">
        <v>11224.5908746225</v>
      </c>
      <c r="D95" s="9">
        <v>8.9694285714285699E-2</v>
      </c>
      <c r="E95" s="2">
        <f t="shared" si="62"/>
        <v>2680.2685203345977</v>
      </c>
      <c r="F95" s="9">
        <v>2.2678399999999998E-2</v>
      </c>
      <c r="G95" s="2">
        <f t="shared" si="63"/>
        <v>-2872.4573122186293</v>
      </c>
      <c r="H95" s="7">
        <f t="shared" si="52"/>
        <v>-1.0717050513506159</v>
      </c>
      <c r="I95" s="9">
        <v>2.2678399999999998E-2</v>
      </c>
      <c r="J95" s="2">
        <v>-193.549707602339</v>
      </c>
      <c r="K95" s="13">
        <v>4.0957142857142896</v>
      </c>
      <c r="L95" s="9">
        <f t="shared" si="53"/>
        <v>5.8301285714285708E-2</v>
      </c>
      <c r="M95" s="2">
        <f t="shared" si="54"/>
        <v>2680.2685203345977</v>
      </c>
      <c r="N95" s="16">
        <f t="shared" si="64"/>
        <v>4.0957142857142905</v>
      </c>
    </row>
    <row r="96" spans="1:14" ht="17">
      <c r="A96" s="1" t="s">
        <v>95</v>
      </c>
      <c r="B96" s="6">
        <f t="shared" ref="B96" si="89">C96/11.09%</f>
        <v>86252.344447346812</v>
      </c>
      <c r="C96" s="2">
        <v>9565.3849992107607</v>
      </c>
      <c r="D96" s="9">
        <v>7.7722539682539699E-2</v>
      </c>
      <c r="E96" s="2">
        <f t="shared" si="62"/>
        <v>1992.1432526048168</v>
      </c>
      <c r="F96" s="9">
        <v>1.9018311111111116E-2</v>
      </c>
      <c r="G96" s="2">
        <f t="shared" si="63"/>
        <v>-1812.7548156251287</v>
      </c>
      <c r="H96" s="7">
        <f t="shared" si="52"/>
        <v>-0.90995203947049008</v>
      </c>
      <c r="I96" s="9">
        <v>1.9018311111111116E-2</v>
      </c>
      <c r="J96" s="2">
        <v>-197.24423804609501</v>
      </c>
      <c r="K96" s="13">
        <v>4.1224725274725298</v>
      </c>
      <c r="L96" s="9">
        <f t="shared" si="53"/>
        <v>5.0519650793650804E-2</v>
      </c>
      <c r="M96" s="2">
        <f t="shared" si="54"/>
        <v>1992.1432526048168</v>
      </c>
      <c r="N96" s="16">
        <f t="shared" si="64"/>
        <v>4.1224725274725298</v>
      </c>
    </row>
    <row r="97" spans="1:14" ht="17">
      <c r="A97" s="1" t="s">
        <v>96</v>
      </c>
      <c r="B97" s="6">
        <f t="shared" ref="B97" si="90">C97/12.01%</f>
        <v>117635.16762148376</v>
      </c>
      <c r="C97" s="2">
        <v>14127.983631340199</v>
      </c>
      <c r="D97" s="9">
        <v>7.8639682539682607E-2</v>
      </c>
      <c r="E97" s="2">
        <f t="shared" si="62"/>
        <v>2996.4213383318665</v>
      </c>
      <c r="F97" s="9">
        <v>1.989111111111113E-2</v>
      </c>
      <c r="G97" s="2">
        <f t="shared" si="63"/>
        <v>-2886.4103351982494</v>
      </c>
      <c r="H97" s="7">
        <f t="shared" si="52"/>
        <v>-0.96328586980532549</v>
      </c>
      <c r="I97" s="9">
        <v>1.989111111111113E-2</v>
      </c>
      <c r="J97" s="2">
        <v>-200.93876848985201</v>
      </c>
      <c r="K97" s="13">
        <v>4.1492307692307699</v>
      </c>
      <c r="L97" s="9">
        <f t="shared" si="53"/>
        <v>5.1115793650793696E-2</v>
      </c>
      <c r="M97" s="2">
        <f t="shared" si="54"/>
        <v>2996.4213383318665</v>
      </c>
      <c r="N97" s="16">
        <f t="shared" si="64"/>
        <v>4.1492307692307699</v>
      </c>
    </row>
    <row r="98" spans="1:14" ht="17">
      <c r="A98" s="1" t="s">
        <v>97</v>
      </c>
      <c r="B98" s="6">
        <f t="shared" ref="B98" si="91">C98/10.26%</f>
        <v>117096.88202413644</v>
      </c>
      <c r="C98" s="2">
        <v>12014.140095676399</v>
      </c>
      <c r="D98" s="9">
        <v>7.9556825396825404E-2</v>
      </c>
      <c r="E98" s="2">
        <f t="shared" si="62"/>
        <v>2594.4352752777509</v>
      </c>
      <c r="F98" s="9">
        <v>1.9139911111111116E-2</v>
      </c>
      <c r="G98" s="2">
        <f t="shared" si="63"/>
        <v>-2433.322744885751</v>
      </c>
      <c r="H98" s="7">
        <f t="shared" si="52"/>
        <v>-0.93790073241478278</v>
      </c>
      <c r="I98" s="9">
        <v>1.9139911111111116E-2</v>
      </c>
      <c r="J98" s="2">
        <v>-204.63329893360799</v>
      </c>
      <c r="K98" s="13">
        <v>4.1759890109890199</v>
      </c>
      <c r="L98" s="9">
        <f t="shared" si="53"/>
        <v>5.1711936507936512E-2</v>
      </c>
      <c r="M98" s="2">
        <f t="shared" si="54"/>
        <v>2594.4352752777509</v>
      </c>
      <c r="N98" s="16">
        <f t="shared" si="64"/>
        <v>4.1759890109890199</v>
      </c>
    </row>
    <row r="99" spans="1:14" ht="17">
      <c r="A99" s="1" t="s">
        <v>98</v>
      </c>
      <c r="B99" s="6">
        <f t="shared" ref="B99" si="92">C99/11.36%</f>
        <v>84557.213294778703</v>
      </c>
      <c r="C99" s="2">
        <v>9605.6994302868607</v>
      </c>
      <c r="D99" s="9">
        <v>8.0473968253968298E-2</v>
      </c>
      <c r="E99" s="2">
        <f t="shared" si="62"/>
        <v>2111.6942630271456</v>
      </c>
      <c r="F99" s="9">
        <v>1.9480711111111128E-2</v>
      </c>
      <c r="G99" s="2">
        <f t="shared" si="63"/>
        <v>-2039.1532318589911</v>
      </c>
      <c r="H99" s="7">
        <f t="shared" si="52"/>
        <v>-0.96564794798269438</v>
      </c>
      <c r="I99" s="9">
        <v>1.9480711111111128E-2</v>
      </c>
      <c r="J99" s="2">
        <v>-208.32782937736499</v>
      </c>
      <c r="K99" s="13">
        <v>4.20274725274726</v>
      </c>
      <c r="L99" s="9">
        <f t="shared" si="53"/>
        <v>5.2308079365079398E-2</v>
      </c>
      <c r="M99" s="2">
        <f t="shared" si="54"/>
        <v>2111.6942630271456</v>
      </c>
      <c r="N99" s="16">
        <f t="shared" si="64"/>
        <v>4.20274725274726</v>
      </c>
    </row>
    <row r="100" spans="1:14" ht="17">
      <c r="A100" s="1" t="s">
        <v>99</v>
      </c>
      <c r="B100" s="6">
        <f t="shared" ref="B100" si="93">C100/9.31%</f>
        <v>139983.4852479001</v>
      </c>
      <c r="C100" s="2">
        <v>13032.4624765795</v>
      </c>
      <c r="D100" s="9">
        <v>8.1391111111111095E-2</v>
      </c>
      <c r="E100" s="2">
        <f t="shared" si="62"/>
        <v>2916.126842940409</v>
      </c>
      <c r="F100" s="9">
        <v>1.982151111111111E-2</v>
      </c>
      <c r="G100" s="2">
        <f t="shared" si="63"/>
        <v>-2897.5787052138785</v>
      </c>
      <c r="H100" s="7">
        <f t="shared" si="52"/>
        <v>-0.99363946126985758</v>
      </c>
      <c r="I100" s="9">
        <v>1.982151111111111E-2</v>
      </c>
      <c r="J100" s="2">
        <v>-212.022359821121</v>
      </c>
      <c r="K100" s="13">
        <v>4.2295054945055002</v>
      </c>
      <c r="L100" s="9">
        <f t="shared" si="53"/>
        <v>5.2904222222222214E-2</v>
      </c>
      <c r="M100" s="2">
        <f t="shared" si="54"/>
        <v>2916.126842940409</v>
      </c>
      <c r="N100" s="16">
        <f t="shared" si="64"/>
        <v>4.2295054945055002</v>
      </c>
    </row>
    <row r="101" spans="1:14" ht="17">
      <c r="A101" s="1" t="s">
        <v>100</v>
      </c>
      <c r="B101" s="6">
        <f t="shared" ref="B101:B102" si="94">C101/12.1%</f>
        <v>146145.51131519504</v>
      </c>
      <c r="C101" s="2">
        <v>17683.606869138599</v>
      </c>
      <c r="D101" s="9">
        <v>8.2308253968254003E-2</v>
      </c>
      <c r="E101" s="2">
        <f t="shared" si="62"/>
        <v>4026.763541523103</v>
      </c>
      <c r="F101" s="9">
        <v>2.2206311111111123E-2</v>
      </c>
      <c r="G101" s="2">
        <f t="shared" si="63"/>
        <v>-4531.981912904811</v>
      </c>
      <c r="H101" s="7">
        <f t="shared" si="52"/>
        <v>-1.1254651201075025</v>
      </c>
      <c r="I101" s="9">
        <v>2.2206311111111123E-2</v>
      </c>
      <c r="J101" s="2">
        <v>-215.71689026487701</v>
      </c>
      <c r="K101" s="13">
        <v>4.2562637362637403</v>
      </c>
      <c r="L101" s="9">
        <f t="shared" si="53"/>
        <v>5.3500365079365106E-2</v>
      </c>
      <c r="M101" s="2">
        <f t="shared" si="54"/>
        <v>4026.763541523103</v>
      </c>
      <c r="N101" s="16">
        <f t="shared" si="64"/>
        <v>4.2562637362637394</v>
      </c>
    </row>
    <row r="102" spans="1:14" ht="17">
      <c r="A102" s="1" t="s">
        <v>101</v>
      </c>
      <c r="B102" s="6">
        <f t="shared" si="94"/>
        <v>149397.61784234794</v>
      </c>
      <c r="C102" s="2">
        <v>18077.1117589241</v>
      </c>
      <c r="D102" s="9">
        <v>8.32253968253968E-2</v>
      </c>
      <c r="E102" s="2">
        <f t="shared" si="62"/>
        <v>4188.4041108254769</v>
      </c>
      <c r="F102" s="9">
        <v>2.0727111111111106E-2</v>
      </c>
      <c r="G102" s="2">
        <f t="shared" si="63"/>
        <v>-4447.2984924031389</v>
      </c>
      <c r="H102" s="7">
        <f t="shared" si="52"/>
        <v>-1.0618121782729883</v>
      </c>
      <c r="I102" s="9">
        <v>2.0727111111111106E-2</v>
      </c>
      <c r="J102" s="2">
        <v>-219.41142070863401</v>
      </c>
      <c r="K102" s="13">
        <v>4.2830219780219796</v>
      </c>
      <c r="L102" s="9">
        <f t="shared" si="53"/>
        <v>5.4096507936507922E-2</v>
      </c>
      <c r="M102" s="2">
        <f t="shared" si="54"/>
        <v>4188.4041108254769</v>
      </c>
      <c r="N102" s="16">
        <f t="shared" si="64"/>
        <v>4.2830219780219796</v>
      </c>
    </row>
    <row r="103" spans="1:14" ht="17">
      <c r="A103" s="1" t="s">
        <v>102</v>
      </c>
      <c r="B103" s="6">
        <f t="shared" ref="B103" si="95">C103/11.09%</f>
        <v>126704.92312944184</v>
      </c>
      <c r="C103" s="2">
        <v>14051.575975055101</v>
      </c>
      <c r="D103" s="9">
        <v>8.4142539682539694E-2</v>
      </c>
      <c r="E103" s="2">
        <f t="shared" si="62"/>
        <v>3312.1434073255537</v>
      </c>
      <c r="F103" s="9">
        <v>2.081591111111112E-2</v>
      </c>
      <c r="G103" s="2">
        <f t="shared" si="63"/>
        <v>-3569.1153845236258</v>
      </c>
      <c r="H103" s="7">
        <f t="shared" si="52"/>
        <v>-1.0775847979980941</v>
      </c>
      <c r="I103" s="9">
        <v>2.081591111111112E-2</v>
      </c>
      <c r="J103" s="2">
        <v>-223.10595115238999</v>
      </c>
      <c r="K103" s="13">
        <v>4.3097802197802197</v>
      </c>
      <c r="L103" s="9">
        <f t="shared" si="53"/>
        <v>5.46926507936508E-2</v>
      </c>
      <c r="M103" s="2">
        <f t="shared" si="54"/>
        <v>3312.1434073255537</v>
      </c>
      <c r="N103" s="16">
        <f t="shared" si="64"/>
        <v>4.3097802197802189</v>
      </c>
    </row>
    <row r="104" spans="1:14" ht="17">
      <c r="A104" s="1" t="s">
        <v>103</v>
      </c>
      <c r="B104" s="6">
        <f t="shared" ref="B104" si="96">C104/12.01%</f>
        <v>214759.82672536804</v>
      </c>
      <c r="C104" s="2">
        <v>25792.655189716701</v>
      </c>
      <c r="D104" s="9">
        <v>8.5059682539682602E-2</v>
      </c>
      <c r="E104" s="2">
        <f t="shared" si="62"/>
        <v>6184.0980818378403</v>
      </c>
      <c r="F104" s="9">
        <v>2.1380711111111131E-2</v>
      </c>
      <c r="G104" s="2">
        <f t="shared" si="63"/>
        <v>-6915.1130486698285</v>
      </c>
      <c r="H104" s="7">
        <f t="shared" si="52"/>
        <v>-1.118208824821022</v>
      </c>
      <c r="I104" s="9">
        <v>2.1380711111111131E-2</v>
      </c>
      <c r="J104" s="2">
        <v>-226.80048159614699</v>
      </c>
      <c r="K104" s="13">
        <v>4.3365384615384697</v>
      </c>
      <c r="L104" s="9">
        <f t="shared" si="53"/>
        <v>5.5288793650793693E-2</v>
      </c>
      <c r="M104" s="2">
        <f t="shared" si="54"/>
        <v>6184.0980818378403</v>
      </c>
      <c r="N104" s="16">
        <f t="shared" si="64"/>
        <v>4.3365384615384697</v>
      </c>
    </row>
    <row r="105" spans="1:14" ht="17">
      <c r="A105" s="1" t="s">
        <v>104</v>
      </c>
      <c r="B105" s="6">
        <f t="shared" ref="B105" si="97">C105/10.26%</f>
        <v>95074.425584598546</v>
      </c>
      <c r="C105" s="2">
        <v>9754.6360649798098</v>
      </c>
      <c r="D105" s="9">
        <v>8.5976825396825399E-2</v>
      </c>
      <c r="E105" s="2">
        <f t="shared" si="62"/>
        <v>2378.5954224324255</v>
      </c>
      <c r="F105" s="9">
        <v>2.1329511111111112E-2</v>
      </c>
      <c r="G105" s="2">
        <f t="shared" si="63"/>
        <v>-2680.0831335694115</v>
      </c>
      <c r="H105" s="7">
        <f t="shared" si="52"/>
        <v>-1.1267503116728759</v>
      </c>
      <c r="I105" s="9">
        <v>2.1329511111111112E-2</v>
      </c>
      <c r="J105" s="2">
        <v>-230.495012039903</v>
      </c>
      <c r="K105" s="13">
        <v>4.3632967032967098</v>
      </c>
      <c r="L105" s="9">
        <f t="shared" si="53"/>
        <v>5.5884936507936508E-2</v>
      </c>
      <c r="M105" s="2">
        <f t="shared" si="54"/>
        <v>2378.5954224324255</v>
      </c>
      <c r="N105" s="16">
        <f t="shared" si="64"/>
        <v>4.3632967032967107</v>
      </c>
    </row>
    <row r="106" spans="1:14" ht="17">
      <c r="A106" s="1" t="s">
        <v>105</v>
      </c>
      <c r="B106" s="6">
        <f t="shared" ref="B106" si="98">C106/11.36%</f>
        <v>550496.65808492433</v>
      </c>
      <c r="C106" s="2">
        <v>62536.420358447402</v>
      </c>
      <c r="D106" s="9">
        <v>8.6893968253968307E-2</v>
      </c>
      <c r="E106" s="2">
        <f t="shared" si="62"/>
        <v>15506.220722044302</v>
      </c>
      <c r="F106" s="9">
        <v>2.2202311111111126E-2</v>
      </c>
      <c r="G106" s="2">
        <f t="shared" si="63"/>
        <v>-18365.454810279381</v>
      </c>
      <c r="H106" s="7">
        <f t="shared" si="52"/>
        <v>-1.1843927117695592</v>
      </c>
      <c r="I106" s="9">
        <v>2.2202311111111126E-2</v>
      </c>
      <c r="J106" s="2">
        <v>-234.18954248366001</v>
      </c>
      <c r="K106" s="13">
        <v>4.39005494505495</v>
      </c>
      <c r="L106" s="9">
        <f t="shared" si="53"/>
        <v>5.6481079365079401E-2</v>
      </c>
      <c r="M106" s="2">
        <f t="shared" si="54"/>
        <v>15506.220722044302</v>
      </c>
      <c r="N106" s="16">
        <f t="shared" si="64"/>
        <v>4.39005494505495</v>
      </c>
    </row>
    <row r="107" spans="1:14" ht="17">
      <c r="A107" s="1" t="s">
        <v>106</v>
      </c>
      <c r="B107" s="6">
        <f t="shared" ref="B107" si="99">C107/9.31%</f>
        <v>30316.026059951557</v>
      </c>
      <c r="C107" s="2">
        <v>2822.4220261814899</v>
      </c>
      <c r="D107" s="9">
        <v>8.7811111111111104E-2</v>
      </c>
      <c r="E107" s="2">
        <f t="shared" si="62"/>
        <v>711.53097774775017</v>
      </c>
      <c r="F107" s="9">
        <v>2.1451111111111112E-2</v>
      </c>
      <c r="G107" s="2">
        <f t="shared" si="63"/>
        <v>-822.05322963800722</v>
      </c>
      <c r="H107" s="7">
        <f t="shared" si="52"/>
        <v>-1.1553302039499382</v>
      </c>
      <c r="I107" s="9">
        <v>2.1451111111111112E-2</v>
      </c>
      <c r="J107" s="2">
        <v>-237.88407292741601</v>
      </c>
      <c r="K107" s="13">
        <v>4.4168131868131901</v>
      </c>
      <c r="L107" s="9">
        <f t="shared" si="53"/>
        <v>5.7077222222222217E-2</v>
      </c>
      <c r="M107" s="2">
        <f t="shared" si="54"/>
        <v>711.53097774775017</v>
      </c>
      <c r="N107" s="16">
        <f t="shared" si="64"/>
        <v>4.4168131868131901</v>
      </c>
    </row>
    <row r="108" spans="1:14" ht="17">
      <c r="A108" s="1" t="s">
        <v>107</v>
      </c>
      <c r="B108" s="6">
        <f t="shared" ref="B108:B109" si="100">C108/12.1%</f>
        <v>244469.40360641241</v>
      </c>
      <c r="C108" s="2">
        <v>29580.797836375899</v>
      </c>
      <c r="D108" s="9">
        <v>8.8728253968253998E-2</v>
      </c>
      <c r="E108" s="2">
        <f t="shared" si="62"/>
        <v>7580.8401825289484</v>
      </c>
      <c r="F108" s="9">
        <v>2.1791911111111124E-2</v>
      </c>
      <c r="G108" s="2">
        <f t="shared" si="63"/>
        <v>-8981.2949756832586</v>
      </c>
      <c r="H108" s="7">
        <f t="shared" si="52"/>
        <v>-1.1847360924956372</v>
      </c>
      <c r="I108" s="9">
        <v>2.1791911111111124E-2</v>
      </c>
      <c r="J108" s="2">
        <v>-241.57860337117299</v>
      </c>
      <c r="K108" s="13">
        <v>4.4435714285714303</v>
      </c>
      <c r="L108" s="9">
        <f t="shared" si="53"/>
        <v>5.7673365079365102E-2</v>
      </c>
      <c r="M108" s="2">
        <f t="shared" si="54"/>
        <v>7580.8401825289484</v>
      </c>
      <c r="N108" s="16">
        <f t="shared" si="64"/>
        <v>4.4435714285714303</v>
      </c>
    </row>
    <row r="109" spans="1:14" ht="17">
      <c r="A109" s="1" t="s">
        <v>108</v>
      </c>
      <c r="B109" s="6">
        <f t="shared" si="100"/>
        <v>153735.82982444711</v>
      </c>
      <c r="C109" s="2">
        <v>18602.0354087581</v>
      </c>
      <c r="D109" s="9">
        <v>8.9645396825396795E-2</v>
      </c>
      <c r="E109" s="2">
        <f t="shared" si="62"/>
        <v>4845.5309210281011</v>
      </c>
      <c r="F109" s="9">
        <v>2.2132711111111134E-2</v>
      </c>
      <c r="G109" s="2">
        <f t="shared" si="63"/>
        <v>-5884.1862764547122</v>
      </c>
      <c r="H109" s="7">
        <f t="shared" si="52"/>
        <v>-1.2143532612534096</v>
      </c>
      <c r="I109" s="9">
        <v>2.2132711111111134E-2</v>
      </c>
      <c r="J109" s="2">
        <v>-245.273133814929</v>
      </c>
      <c r="K109" s="13">
        <v>4.4703296703296802</v>
      </c>
      <c r="L109" s="9">
        <f t="shared" si="53"/>
        <v>5.8269507936507918E-2</v>
      </c>
      <c r="M109" s="2">
        <f t="shared" si="54"/>
        <v>4845.5309210281011</v>
      </c>
      <c r="N109" s="16">
        <f t="shared" si="64"/>
        <v>4.4703296703296811</v>
      </c>
    </row>
    <row r="110" spans="1:14" ht="17">
      <c r="A110" s="1" t="s">
        <v>109</v>
      </c>
      <c r="B110" s="6">
        <f t="shared" ref="B110" si="101">C110/11.09%</f>
        <v>76508.147435013714</v>
      </c>
      <c r="C110" s="2">
        <v>8484.7535505430205</v>
      </c>
      <c r="D110" s="9">
        <v>9.0562539682539703E-2</v>
      </c>
      <c r="E110" s="2">
        <f t="shared" si="62"/>
        <v>2246.1179550941829</v>
      </c>
      <c r="F110" s="9">
        <v>2.4517511111111119E-2</v>
      </c>
      <c r="G110" s="2">
        <f t="shared" si="63"/>
        <v>-3048.740834559555</v>
      </c>
      <c r="H110" s="7">
        <f t="shared" si="52"/>
        <v>-1.3573378137354843</v>
      </c>
      <c r="I110" s="9">
        <v>2.4517511111111119E-2</v>
      </c>
      <c r="J110" s="2">
        <v>-248.96766425868501</v>
      </c>
      <c r="K110" s="13">
        <v>4.4970879120879204</v>
      </c>
      <c r="L110" s="9">
        <f t="shared" si="53"/>
        <v>5.886565079365081E-2</v>
      </c>
      <c r="M110" s="2">
        <f t="shared" si="54"/>
        <v>2246.1179550941829</v>
      </c>
      <c r="N110" s="16">
        <f t="shared" si="64"/>
        <v>4.4970879120879212</v>
      </c>
    </row>
    <row r="111" spans="1:14" ht="17">
      <c r="A111" s="1" t="s">
        <v>110</v>
      </c>
      <c r="B111" s="6">
        <f t="shared" ref="B111" si="102">C111/12.01%</f>
        <v>116106.93093907827</v>
      </c>
      <c r="C111" s="2">
        <v>13944.4424057833</v>
      </c>
      <c r="D111" s="9">
        <v>9.1479682539682597E-2</v>
      </c>
      <c r="E111" s="2">
        <f t="shared" si="62"/>
        <v>3750.9993201356378</v>
      </c>
      <c r="F111" s="9">
        <v>2.303831111111113E-2</v>
      </c>
      <c r="G111" s="2">
        <f t="shared" si="63"/>
        <v>-4826.4750034980671</v>
      </c>
      <c r="H111" s="7">
        <f t="shared" si="52"/>
        <v>-1.2867171096484069</v>
      </c>
      <c r="I111" s="9">
        <v>2.303831111111113E-2</v>
      </c>
      <c r="J111" s="2">
        <v>-252.66219470244201</v>
      </c>
      <c r="K111" s="13">
        <v>4.5238461538461596</v>
      </c>
      <c r="L111" s="9">
        <f t="shared" si="53"/>
        <v>5.9461793650793689E-2</v>
      </c>
      <c r="M111" s="2">
        <f t="shared" si="54"/>
        <v>3750.9993201356378</v>
      </c>
      <c r="N111" s="16">
        <f t="shared" si="64"/>
        <v>4.5238461538461605</v>
      </c>
    </row>
    <row r="112" spans="1:14" ht="17">
      <c r="A112" s="1" t="s">
        <v>111</v>
      </c>
      <c r="B112" s="6">
        <f t="shared" ref="B112" si="103">C112/10.26%</f>
        <v>379991.56184891716</v>
      </c>
      <c r="C112" s="2">
        <v>38987.1342456989</v>
      </c>
      <c r="D112" s="9">
        <v>9.2396825396825394E-2</v>
      </c>
      <c r="E112" s="2">
        <f t="shared" si="62"/>
        <v>10655.180275203065</v>
      </c>
      <c r="F112" s="9">
        <v>2.3127111111111116E-2</v>
      </c>
      <c r="G112" s="2">
        <f t="shared" si="63"/>
        <v>-13882.184813928081</v>
      </c>
      <c r="H112" s="7">
        <f t="shared" si="52"/>
        <v>-1.3028578076933115</v>
      </c>
      <c r="I112" s="9">
        <v>2.3127111111111116E-2</v>
      </c>
      <c r="J112" s="2">
        <v>-256.35672514619802</v>
      </c>
      <c r="K112" s="13">
        <v>4.5506043956043998</v>
      </c>
      <c r="L112" s="9">
        <f t="shared" si="53"/>
        <v>6.0057936507936505E-2</v>
      </c>
      <c r="M112" s="2">
        <f t="shared" si="54"/>
        <v>10655.180275203065</v>
      </c>
      <c r="N112" s="16">
        <f t="shared" si="64"/>
        <v>4.5506043956043998</v>
      </c>
    </row>
    <row r="113" spans="1:14" ht="17">
      <c r="A113" s="1" t="s">
        <v>112</v>
      </c>
      <c r="B113" s="6">
        <f t="shared" ref="B113" si="104">C113/11.36%</f>
        <v>97448.600151158447</v>
      </c>
      <c r="C113" s="2">
        <v>11070.160977171599</v>
      </c>
      <c r="D113" s="9">
        <v>9.3313968253968302E-2</v>
      </c>
      <c r="E113" s="2">
        <f t="shared" si="62"/>
        <v>3073.4720767634312</v>
      </c>
      <c r="F113" s="9">
        <v>2.3691911111111127E-2</v>
      </c>
      <c r="G113" s="2">
        <f t="shared" si="63"/>
        <v>-4136.8807396018892</v>
      </c>
      <c r="H113" s="7">
        <f t="shared" si="52"/>
        <v>-1.3459958757648116</v>
      </c>
      <c r="I113" s="9">
        <v>2.3691911111111127E-2</v>
      </c>
      <c r="J113" s="2">
        <v>-260.05125558995502</v>
      </c>
      <c r="K113" s="13">
        <v>4.5773626373626399</v>
      </c>
      <c r="L113" s="9">
        <f t="shared" si="53"/>
        <v>6.0654079365079397E-2</v>
      </c>
      <c r="M113" s="2">
        <f t="shared" si="54"/>
        <v>3073.4720767634312</v>
      </c>
      <c r="N113" s="16">
        <f t="shared" si="64"/>
        <v>4.5773626373626399</v>
      </c>
    </row>
    <row r="114" spans="1:14" ht="17">
      <c r="A114" s="1" t="s">
        <v>112</v>
      </c>
      <c r="B114" s="6">
        <f t="shared" ref="B114" si="105">C114/9.31%</f>
        <v>287759.66369554668</v>
      </c>
      <c r="C114" s="2">
        <v>26790.424690055399</v>
      </c>
      <c r="D114" s="9">
        <v>9.4231111111111196E-2</v>
      </c>
      <c r="E114" s="2">
        <f t="shared" si="62"/>
        <v>7554.9915729557997</v>
      </c>
      <c r="F114" s="9">
        <v>2.3640711111111139E-2</v>
      </c>
      <c r="G114" s="2">
        <f t="shared" si="63"/>
        <v>-10231.359207834828</v>
      </c>
      <c r="H114" s="7">
        <f t="shared" si="52"/>
        <v>-1.3542515711677932</v>
      </c>
      <c r="I114" s="9">
        <v>2.3640711111111139E-2</v>
      </c>
      <c r="J114" s="2">
        <v>-263.745786033711</v>
      </c>
      <c r="K114" s="13">
        <v>4.6041208791208801</v>
      </c>
      <c r="L114" s="9">
        <f t="shared" si="53"/>
        <v>6.1250222222222282E-2</v>
      </c>
      <c r="M114" s="2">
        <f t="shared" si="54"/>
        <v>7554.9915729557997</v>
      </c>
      <c r="N114" s="16">
        <f t="shared" si="64"/>
        <v>4.6041208791208801</v>
      </c>
    </row>
    <row r="115" spans="1:14" ht="17">
      <c r="A115" s="1" t="s">
        <v>113</v>
      </c>
      <c r="B115" s="6">
        <f t="shared" ref="B115:B116" si="106">C115/12.1%</f>
        <v>54409.98239488843</v>
      </c>
      <c r="C115" s="2">
        <v>6583.6078697815001</v>
      </c>
      <c r="D115" s="9">
        <v>9.5148253968254007E-2</v>
      </c>
      <c r="E115" s="2">
        <f t="shared" si="62"/>
        <v>1885.5653129998595</v>
      </c>
      <c r="F115" s="9">
        <v>2.4513511111111122E-2</v>
      </c>
      <c r="G115" s="2">
        <f t="shared" si="63"/>
        <v>-2669.3808061164164</v>
      </c>
      <c r="H115" s="7">
        <f t="shared" si="52"/>
        <v>-1.4156925711947561</v>
      </c>
      <c r="I115" s="9">
        <v>2.4513511111111122E-2</v>
      </c>
      <c r="J115" s="2">
        <v>-267.440316477468</v>
      </c>
      <c r="K115" s="13">
        <v>4.63087912087913</v>
      </c>
      <c r="L115" s="9">
        <f t="shared" si="53"/>
        <v>6.1846365079365105E-2</v>
      </c>
      <c r="M115" s="2">
        <f t="shared" si="54"/>
        <v>1885.5653129998595</v>
      </c>
      <c r="N115" s="16">
        <f t="shared" si="64"/>
        <v>4.63087912087913</v>
      </c>
    </row>
    <row r="116" spans="1:14" ht="17">
      <c r="A116" s="1" t="s">
        <v>114</v>
      </c>
      <c r="B116" s="6">
        <f t="shared" si="106"/>
        <v>111472.84274452315</v>
      </c>
      <c r="C116" s="2">
        <v>13488.2139720873</v>
      </c>
      <c r="D116" s="9">
        <v>9.6065396825396901E-2</v>
      </c>
      <c r="E116" s="2">
        <f t="shared" si="62"/>
        <v>3922.8387485367598</v>
      </c>
      <c r="F116" s="9">
        <v>2.3762311111111135E-2</v>
      </c>
      <c r="G116" s="2">
        <f t="shared" si="63"/>
        <v>-5426.362464511456</v>
      </c>
      <c r="H116" s="7">
        <f t="shared" si="52"/>
        <v>-1.3832744123208018</v>
      </c>
      <c r="I116" s="9">
        <v>2.3762311111111135E-2</v>
      </c>
      <c r="J116" s="2">
        <v>-271.13484692122398</v>
      </c>
      <c r="K116" s="13">
        <v>4.6576373626373702</v>
      </c>
      <c r="L116" s="9">
        <f t="shared" si="53"/>
        <v>6.244250793650799E-2</v>
      </c>
      <c r="M116" s="2">
        <f t="shared" si="54"/>
        <v>3922.8387485367598</v>
      </c>
      <c r="N116" s="16">
        <f t="shared" si="64"/>
        <v>4.6576373626373702</v>
      </c>
    </row>
    <row r="117" spans="1:14" ht="17">
      <c r="A117" s="1" t="s">
        <v>115</v>
      </c>
      <c r="B117" s="6">
        <f t="shared" ref="B117" si="107">C117/11.09%</f>
        <v>160645.70290817402</v>
      </c>
      <c r="C117" s="2">
        <v>17815.608452516499</v>
      </c>
      <c r="D117" s="9">
        <v>6.8777142857142898E-2</v>
      </c>
      <c r="E117" s="2">
        <f t="shared" si="62"/>
        <v>3730.8836982133048</v>
      </c>
      <c r="F117" s="9">
        <v>1.6205600000000014E-2</v>
      </c>
      <c r="G117" s="2">
        <f t="shared" si="63"/>
        <v>-3547.206040854302</v>
      </c>
      <c r="H117" s="7">
        <f t="shared" si="52"/>
        <v>-0.95076832401745337</v>
      </c>
      <c r="I117" s="9">
        <v>1.6205600000000014E-2</v>
      </c>
      <c r="J117" s="2">
        <v>-274.82937736498099</v>
      </c>
      <c r="K117" s="13">
        <v>4.6843956043956103</v>
      </c>
      <c r="L117" s="9">
        <f t="shared" si="53"/>
        <v>4.4705142857142888E-2</v>
      </c>
      <c r="M117" s="2">
        <f t="shared" si="54"/>
        <v>3730.8836982133048</v>
      </c>
      <c r="N117" s="16">
        <f t="shared" si="64"/>
        <v>4.6843956043956103</v>
      </c>
    </row>
    <row r="118" spans="1:14" ht="17">
      <c r="A118" s="1" t="s">
        <v>116</v>
      </c>
      <c r="B118" s="6">
        <f t="shared" ref="B118" si="108">C118/12.01%</f>
        <v>62048.508128148547</v>
      </c>
      <c r="C118" s="2">
        <v>7452.0258261906401</v>
      </c>
      <c r="D118" s="9">
        <v>6.9602857142857105E-2</v>
      </c>
      <c r="E118" s="2">
        <f t="shared" si="62"/>
        <v>1588.3348395062631</v>
      </c>
      <c r="F118" s="9">
        <v>1.6520799999999988E-2</v>
      </c>
      <c r="G118" s="2">
        <f t="shared" si="63"/>
        <v>-1551.3447809837012</v>
      </c>
      <c r="H118" s="7">
        <f t="shared" si="52"/>
        <v>-0.97671142280423673</v>
      </c>
      <c r="I118" s="9">
        <v>1.6520799999999988E-2</v>
      </c>
      <c r="J118" s="2">
        <v>-278.52390780873702</v>
      </c>
      <c r="K118" s="13">
        <v>4.7111538461538496</v>
      </c>
      <c r="L118" s="9">
        <f t="shared" si="53"/>
        <v>4.5241857142857118E-2</v>
      </c>
      <c r="M118" s="2">
        <f t="shared" si="54"/>
        <v>1588.3348395062631</v>
      </c>
      <c r="N118" s="16">
        <f t="shared" si="64"/>
        <v>4.7111538461538505</v>
      </c>
    </row>
    <row r="119" spans="1:14" ht="17">
      <c r="A119" s="1" t="s">
        <v>117</v>
      </c>
      <c r="B119" s="6">
        <f t="shared" ref="B119" si="109">C119/10.26%</f>
        <v>148732.6057441959</v>
      </c>
      <c r="C119" s="2">
        <v>15259.965349354499</v>
      </c>
      <c r="D119" s="9">
        <v>7.0428571428571396E-2</v>
      </c>
      <c r="E119" s="2">
        <f t="shared" si="62"/>
        <v>3309.8078487392622</v>
      </c>
      <c r="F119" s="9">
        <v>1.8879999999999991E-2</v>
      </c>
      <c r="G119" s="2">
        <f t="shared" si="63"/>
        <v>-3722.229592758657</v>
      </c>
      <c r="H119" s="7">
        <f t="shared" si="52"/>
        <v>-1.1246059477973895</v>
      </c>
      <c r="I119" s="9">
        <v>1.8879999999999991E-2</v>
      </c>
      <c r="J119" s="2">
        <v>-282.21843825249402</v>
      </c>
      <c r="K119" s="13">
        <v>4.7379120879120897</v>
      </c>
      <c r="L119" s="9">
        <f t="shared" si="53"/>
        <v>4.5778571428571412E-2</v>
      </c>
      <c r="M119" s="2">
        <f t="shared" si="54"/>
        <v>3309.8078487392622</v>
      </c>
      <c r="N119" s="16">
        <f t="shared" si="64"/>
        <v>4.7379120879120897</v>
      </c>
    </row>
    <row r="120" spans="1:14" ht="17">
      <c r="A120" s="1" t="s">
        <v>118</v>
      </c>
      <c r="B120" s="6">
        <f t="shared" ref="B120" si="110">C120/11.36%</f>
        <v>171016.8483248213</v>
      </c>
      <c r="C120" s="2">
        <v>19427.513969699699</v>
      </c>
      <c r="D120" s="9">
        <v>8.5059682539682602E-2</v>
      </c>
      <c r="E120" s="2">
        <f t="shared" si="62"/>
        <v>5117.8458527529374</v>
      </c>
      <c r="F120" s="9">
        <v>2.124071111111113E-2</v>
      </c>
      <c r="G120" s="2">
        <f t="shared" si="63"/>
        <v>-6523.1482877197823</v>
      </c>
      <c r="H120" s="7">
        <f t="shared" si="52"/>
        <v>-1.2745886600337757</v>
      </c>
      <c r="I120" s="9">
        <v>2.124071111111113E-2</v>
      </c>
      <c r="J120" s="2">
        <v>-285.91296869625</v>
      </c>
      <c r="K120" s="13">
        <v>4.7646703296703397</v>
      </c>
      <c r="L120" s="9">
        <f t="shared" si="53"/>
        <v>5.5288793650793693E-2</v>
      </c>
      <c r="M120" s="2">
        <f t="shared" si="54"/>
        <v>5117.8458527529374</v>
      </c>
      <c r="N120" s="16">
        <f t="shared" si="64"/>
        <v>4.7646703296703397</v>
      </c>
    </row>
    <row r="121" spans="1:14" ht="17">
      <c r="A121" s="1" t="s">
        <v>119</v>
      </c>
      <c r="B121" s="6">
        <f t="shared" ref="B121" si="111">C121/9.31%</f>
        <v>144888.70729669387</v>
      </c>
      <c r="C121" s="2">
        <v>13489.1386493222</v>
      </c>
      <c r="D121" s="9">
        <v>8.5976825396825399E-2</v>
      </c>
      <c r="E121" s="2">
        <f t="shared" si="62"/>
        <v>3611.9688706538213</v>
      </c>
      <c r="F121" s="9">
        <v>2.1329511111111112E-2</v>
      </c>
      <c r="G121" s="2">
        <f t="shared" si="63"/>
        <v>-4656.6080547431029</v>
      </c>
      <c r="H121" s="7">
        <f t="shared" si="52"/>
        <v>-1.2892159986694973</v>
      </c>
      <c r="I121" s="9">
        <v>2.1329511111111112E-2</v>
      </c>
      <c r="J121" s="2">
        <v>-289.60749914000598</v>
      </c>
      <c r="K121" s="13">
        <v>4.7914285714285798</v>
      </c>
      <c r="L121" s="9">
        <f t="shared" si="53"/>
        <v>5.5884936507936508E-2</v>
      </c>
      <c r="M121" s="2">
        <f t="shared" si="54"/>
        <v>3611.9688706538213</v>
      </c>
      <c r="N121" s="16">
        <f t="shared" si="64"/>
        <v>4.7914285714285798</v>
      </c>
    </row>
    <row r="122" spans="1:14" ht="17">
      <c r="A122" s="1" t="s">
        <v>120</v>
      </c>
      <c r="B122" s="6">
        <f t="shared" ref="B122:B123" si="112">C122/12.1%</f>
        <v>189362.66074015622</v>
      </c>
      <c r="C122" s="2">
        <v>22912.881949558901</v>
      </c>
      <c r="D122" s="9">
        <v>8.6893968253968307E-2</v>
      </c>
      <c r="E122" s="2">
        <f t="shared" si="62"/>
        <v>6235.4290192948865</v>
      </c>
      <c r="F122" s="9">
        <v>2.3718311111111123E-2</v>
      </c>
      <c r="G122" s="2">
        <f t="shared" si="63"/>
        <v>-9002.8815191173017</v>
      </c>
      <c r="H122" s="7">
        <f t="shared" ref="H122:H185" si="113">G122/E122</f>
        <v>-1.4438271193944829</v>
      </c>
      <c r="I122" s="9">
        <v>2.3718311111111123E-2</v>
      </c>
      <c r="J122" s="2">
        <v>-293.30202958376299</v>
      </c>
      <c r="K122" s="13">
        <v>4.81818681318682</v>
      </c>
      <c r="L122" s="9">
        <f t="shared" ref="L122:L185" si="114">D122*65%</f>
        <v>5.6481079365079401E-2</v>
      </c>
      <c r="M122" s="2">
        <f t="shared" ref="M122:M185" si="115">C122*L122*K122</f>
        <v>6235.4290192948865</v>
      </c>
      <c r="N122" s="16">
        <f t="shared" si="64"/>
        <v>4.8181868131868191</v>
      </c>
    </row>
    <row r="123" spans="1:14" ht="17">
      <c r="A123" s="1" t="s">
        <v>121</v>
      </c>
      <c r="B123" s="6">
        <f t="shared" si="112"/>
        <v>97805.798313078514</v>
      </c>
      <c r="C123" s="2">
        <v>11834.501595882501</v>
      </c>
      <c r="D123" s="9">
        <v>8.7811111111111104E-2</v>
      </c>
      <c r="E123" s="2">
        <f t="shared" si="62"/>
        <v>3272.6657990661975</v>
      </c>
      <c r="F123" s="9">
        <v>2.1843111111111112E-2</v>
      </c>
      <c r="G123" s="2">
        <f t="shared" si="63"/>
        <v>-4382.0639961077914</v>
      </c>
      <c r="H123" s="7">
        <f t="shared" si="113"/>
        <v>-1.3389891498722977</v>
      </c>
      <c r="I123" s="9">
        <v>2.1843111111111112E-2</v>
      </c>
      <c r="J123" s="2">
        <v>-296.99656002751902</v>
      </c>
      <c r="K123" s="13">
        <v>4.8449450549450601</v>
      </c>
      <c r="L123" s="9">
        <f t="shared" si="114"/>
        <v>5.7077222222222217E-2</v>
      </c>
      <c r="M123" s="2">
        <f t="shared" si="115"/>
        <v>3272.6657990661975</v>
      </c>
      <c r="N123" s="16">
        <f t="shared" si="64"/>
        <v>4.8449450549450601</v>
      </c>
    </row>
    <row r="124" spans="1:14" ht="17">
      <c r="A124" s="1" t="s">
        <v>122</v>
      </c>
      <c r="B124" s="6">
        <f t="shared" ref="B124" si="116">C124/11.09%</f>
        <v>36848.31822817232</v>
      </c>
      <c r="C124" s="2">
        <v>4086.4784915043101</v>
      </c>
      <c r="D124" s="9">
        <v>8.8728253968253998E-2</v>
      </c>
      <c r="E124" s="2">
        <f t="shared" si="62"/>
        <v>1148.1677386889696</v>
      </c>
      <c r="F124" s="9">
        <v>2.2715911111111122E-2</v>
      </c>
      <c r="G124" s="2">
        <f t="shared" si="63"/>
        <v>-1609.8122582873816</v>
      </c>
      <c r="H124" s="7">
        <f t="shared" si="113"/>
        <v>-1.4020706243893761</v>
      </c>
      <c r="I124" s="9">
        <v>2.2715911111111122E-2</v>
      </c>
      <c r="J124" s="2">
        <v>-300.69109047127603</v>
      </c>
      <c r="K124" s="13">
        <v>4.8717032967033003</v>
      </c>
      <c r="L124" s="9">
        <f t="shared" si="114"/>
        <v>5.7673365079365102E-2</v>
      </c>
      <c r="M124" s="2">
        <f t="shared" si="115"/>
        <v>1148.1677386889696</v>
      </c>
      <c r="N124" s="16">
        <f t="shared" si="64"/>
        <v>4.8717032967033012</v>
      </c>
    </row>
    <row r="125" spans="1:14" ht="17">
      <c r="A125" s="1" t="s">
        <v>123</v>
      </c>
      <c r="B125" s="6">
        <f t="shared" ref="B125" si="117">C125/12.01%</f>
        <v>80419.818353227471</v>
      </c>
      <c r="C125" s="2">
        <v>9658.4201842226194</v>
      </c>
      <c r="D125" s="9">
        <v>8.3500000000000005E-2</v>
      </c>
      <c r="E125" s="2">
        <f t="shared" si="62"/>
        <v>2567.8262238581638</v>
      </c>
      <c r="F125" s="9">
        <v>2.0244000000000002E-2</v>
      </c>
      <c r="G125" s="2">
        <f t="shared" si="63"/>
        <v>-3230.1775068339762</v>
      </c>
      <c r="H125" s="7">
        <f t="shared" si="113"/>
        <v>-1.2579424093506719</v>
      </c>
      <c r="I125" s="9">
        <v>2.0244000000000002E-2</v>
      </c>
      <c r="J125" s="2">
        <v>-304.38562091503201</v>
      </c>
      <c r="K125" s="13">
        <v>4.8984615384615404</v>
      </c>
      <c r="L125" s="9">
        <f t="shared" si="114"/>
        <v>5.4275000000000004E-2</v>
      </c>
      <c r="M125" s="2">
        <f t="shared" si="115"/>
        <v>2567.8262238581638</v>
      </c>
      <c r="N125" s="16">
        <f t="shared" si="64"/>
        <v>4.8984615384615395</v>
      </c>
    </row>
    <row r="126" spans="1:14" ht="17">
      <c r="A126" s="1" t="s">
        <v>124</v>
      </c>
      <c r="B126" s="6">
        <f t="shared" ref="B126" si="118">C126/10.26%</f>
        <v>206431.212532078</v>
      </c>
      <c r="C126" s="2">
        <v>21179.842405791202</v>
      </c>
      <c r="D126" s="9">
        <v>8.9800000000000005E-2</v>
      </c>
      <c r="E126" s="2">
        <f t="shared" si="62"/>
        <v>6088.8886581593706</v>
      </c>
      <c r="F126" s="9">
        <v>2.2092000000000001E-2</v>
      </c>
      <c r="G126" s="2">
        <f t="shared" si="63"/>
        <v>-8414.1678471966097</v>
      </c>
      <c r="H126" s="7">
        <f t="shared" si="113"/>
        <v>-1.3818889323786969</v>
      </c>
      <c r="I126" s="9">
        <v>2.2092000000000001E-2</v>
      </c>
      <c r="J126" s="2">
        <v>-308.08015135878901</v>
      </c>
      <c r="K126" s="13">
        <v>4.9252197802197903</v>
      </c>
      <c r="L126" s="9">
        <f t="shared" si="114"/>
        <v>5.8370000000000005E-2</v>
      </c>
      <c r="M126" s="2">
        <f t="shared" si="115"/>
        <v>6088.8886581593706</v>
      </c>
      <c r="N126" s="16">
        <f t="shared" si="64"/>
        <v>4.9252197802197903</v>
      </c>
    </row>
    <row r="127" spans="1:14" ht="17">
      <c r="A127" s="1" t="s">
        <v>125</v>
      </c>
      <c r="B127" s="6">
        <f t="shared" ref="B127" si="119">C127/11.36%</f>
        <v>126680.09009274121</v>
      </c>
      <c r="C127" s="2">
        <v>14390.858234535401</v>
      </c>
      <c r="D127" s="9">
        <v>8.8700000000000001E-2</v>
      </c>
      <c r="E127" s="2">
        <f t="shared" si="62"/>
        <v>4108.6805855748971</v>
      </c>
      <c r="F127" s="9">
        <v>2.1868000000000002E-2</v>
      </c>
      <c r="G127" s="2">
        <f t="shared" si="63"/>
        <v>-5656.8359114547766</v>
      </c>
      <c r="H127" s="7">
        <f t="shared" si="113"/>
        <v>-1.3768010906750148</v>
      </c>
      <c r="I127" s="9">
        <v>2.1868000000000002E-2</v>
      </c>
      <c r="J127" s="2">
        <v>-311.77468180254499</v>
      </c>
      <c r="K127" s="13">
        <v>4.9519780219780296</v>
      </c>
      <c r="L127" s="9">
        <f t="shared" si="114"/>
        <v>5.7655000000000005E-2</v>
      </c>
      <c r="M127" s="2">
        <f t="shared" si="115"/>
        <v>4108.6805855748971</v>
      </c>
      <c r="N127" s="16">
        <f t="shared" si="64"/>
        <v>4.9519780219780296</v>
      </c>
    </row>
    <row r="128" spans="1:14" ht="17">
      <c r="A128" s="1" t="s">
        <v>126</v>
      </c>
      <c r="B128" s="6">
        <f t="shared" ref="B128" si="120">C128/9.31%</f>
        <v>192227.47262086035</v>
      </c>
      <c r="C128" s="2">
        <v>17896.3777010021</v>
      </c>
      <c r="D128" s="9">
        <v>5.9900000000000002E-2</v>
      </c>
      <c r="E128" s="2">
        <f t="shared" si="62"/>
        <v>3469.1608539282938</v>
      </c>
      <c r="F128" s="9">
        <v>1.5932000000000002E-2</v>
      </c>
      <c r="G128" s="2">
        <f t="shared" si="63"/>
        <v>-3502.1326758907176</v>
      </c>
      <c r="H128" s="7">
        <f t="shared" si="113"/>
        <v>-1.0095042643886312</v>
      </c>
      <c r="I128" s="9">
        <v>1.5932000000000002E-2</v>
      </c>
      <c r="J128" s="2">
        <v>-315.46921224630199</v>
      </c>
      <c r="K128" s="13">
        <v>4.9787362637362698</v>
      </c>
      <c r="L128" s="9">
        <f t="shared" si="114"/>
        <v>3.8935000000000004E-2</v>
      </c>
      <c r="M128" s="2">
        <f t="shared" si="115"/>
        <v>3469.1608539282938</v>
      </c>
      <c r="N128" s="16">
        <f t="shared" si="64"/>
        <v>4.9787362637362689</v>
      </c>
    </row>
    <row r="129" spans="1:14" ht="17">
      <c r="A129" s="1" t="s">
        <v>127</v>
      </c>
      <c r="B129" s="6">
        <f t="shared" ref="B129:B130" si="121">C129/12.1%</f>
        <v>24494.985935120829</v>
      </c>
      <c r="C129" s="2">
        <v>2963.89329814962</v>
      </c>
      <c r="D129" s="9">
        <v>8.1100000000000005E-2</v>
      </c>
      <c r="E129" s="2">
        <f t="shared" si="62"/>
        <v>782.06664658292948</v>
      </c>
      <c r="F129" s="9">
        <v>2.0132000000000004E-2</v>
      </c>
      <c r="G129" s="2">
        <f t="shared" si="63"/>
        <v>-1003.9157009529514</v>
      </c>
      <c r="H129" s="7">
        <f t="shared" si="113"/>
        <v>-1.2836702669003253</v>
      </c>
      <c r="I129" s="9">
        <v>2.0132000000000004E-2</v>
      </c>
      <c r="J129" s="2">
        <v>-319.16374269005797</v>
      </c>
      <c r="K129" s="13">
        <v>5.0054945054945099</v>
      </c>
      <c r="L129" s="9">
        <f t="shared" si="114"/>
        <v>5.2715000000000005E-2</v>
      </c>
      <c r="M129" s="2">
        <f t="shared" si="115"/>
        <v>782.06664658292948</v>
      </c>
      <c r="N129" s="16">
        <f t="shared" si="64"/>
        <v>5.005494505494509</v>
      </c>
    </row>
    <row r="130" spans="1:14" ht="17">
      <c r="A130" s="1" t="s">
        <v>128</v>
      </c>
      <c r="B130" s="6">
        <f t="shared" si="121"/>
        <v>190056.77163629505</v>
      </c>
      <c r="C130" s="2">
        <v>22996.869367991701</v>
      </c>
      <c r="D130" s="9">
        <v>7.4399999999999994E-2</v>
      </c>
      <c r="E130" s="2">
        <f t="shared" si="62"/>
        <v>5596.5122159137691</v>
      </c>
      <c r="F130" s="9">
        <v>1.8088000000000003E-2</v>
      </c>
      <c r="G130" s="2">
        <f t="shared" si="63"/>
        <v>-6494.6758356696928</v>
      </c>
      <c r="H130" s="7">
        <f t="shared" si="113"/>
        <v>-1.1604863145303215</v>
      </c>
      <c r="I130" s="9">
        <v>1.8088000000000003E-2</v>
      </c>
      <c r="J130" s="2">
        <v>-322.85827313381401</v>
      </c>
      <c r="K130" s="13">
        <v>5.0322527472527501</v>
      </c>
      <c r="L130" s="9">
        <f t="shared" si="114"/>
        <v>4.836E-2</v>
      </c>
      <c r="M130" s="2">
        <f t="shared" si="115"/>
        <v>5596.5122159137691</v>
      </c>
      <c r="N130" s="16">
        <f t="shared" si="64"/>
        <v>5.0322527472527492</v>
      </c>
    </row>
    <row r="131" spans="1:14" ht="17">
      <c r="A131" s="1" t="s">
        <v>128</v>
      </c>
      <c r="B131" s="6">
        <f t="shared" ref="B131" si="122">C131/11.09%</f>
        <v>199435.9044826889</v>
      </c>
      <c r="C131" s="2">
        <v>22117.441807130199</v>
      </c>
      <c r="D131" s="9">
        <v>8.0860000000000001E-2</v>
      </c>
      <c r="E131" s="2">
        <f t="shared" ref="E131:E194" si="123">C131*L131*K131</f>
        <v>5880.951660919759</v>
      </c>
      <c r="F131" s="9">
        <v>2.0204800000000002E-2</v>
      </c>
      <c r="G131" s="2">
        <f t="shared" ref="G131:G194" si="124">C131*L131*F131*J131</f>
        <v>-7669.9045533530043</v>
      </c>
      <c r="H131" s="7">
        <f t="shared" si="113"/>
        <v>-1.3041944562002163</v>
      </c>
      <c r="I131" s="9">
        <v>2.0204800000000002E-2</v>
      </c>
      <c r="J131" s="2">
        <v>-326.55280357757101</v>
      </c>
      <c r="K131" s="13">
        <v>5.0590109890109902</v>
      </c>
      <c r="L131" s="9">
        <f t="shared" si="114"/>
        <v>5.2559000000000002E-2</v>
      </c>
      <c r="M131" s="2">
        <f t="shared" si="115"/>
        <v>5880.951660919759</v>
      </c>
      <c r="N131" s="16">
        <f t="shared" ref="N131:N194" si="125">J131*I131/H131</f>
        <v>5.0590109890109902</v>
      </c>
    </row>
    <row r="132" spans="1:14" ht="17">
      <c r="A132" s="1" t="s">
        <v>129</v>
      </c>
      <c r="B132" s="6">
        <f t="shared" ref="B132" si="126">C132/12.01%</f>
        <v>73578.101119181854</v>
      </c>
      <c r="C132" s="2">
        <v>8836.7299444137407</v>
      </c>
      <c r="D132" s="9">
        <v>7.0277142857142899E-2</v>
      </c>
      <c r="E132" s="2">
        <f t="shared" si="123"/>
        <v>2052.9373036517295</v>
      </c>
      <c r="F132" s="9">
        <v>1.6933600000000014E-2</v>
      </c>
      <c r="G132" s="2">
        <f t="shared" si="124"/>
        <v>-2257.3954924152567</v>
      </c>
      <c r="H132" s="7">
        <f t="shared" si="113"/>
        <v>-1.099593001890433</v>
      </c>
      <c r="I132" s="9">
        <v>1.6933600000000014E-2</v>
      </c>
      <c r="J132" s="2">
        <v>-330.24733402132699</v>
      </c>
      <c r="K132" s="13">
        <v>5.0857692307692401</v>
      </c>
      <c r="L132" s="9">
        <f t="shared" si="114"/>
        <v>4.5680142857142884E-2</v>
      </c>
      <c r="M132" s="2">
        <f t="shared" si="115"/>
        <v>2052.9373036517295</v>
      </c>
      <c r="N132" s="16">
        <f t="shared" si="125"/>
        <v>5.0857692307692401</v>
      </c>
    </row>
    <row r="133" spans="1:14" ht="17">
      <c r="A133" s="1" t="s">
        <v>130</v>
      </c>
      <c r="B133" s="6">
        <f t="shared" ref="B133" si="127">C133/10.26%</f>
        <v>130146.53386042983</v>
      </c>
      <c r="C133" s="2">
        <v>13353.0343740801</v>
      </c>
      <c r="D133" s="9">
        <v>8.9694285714285699E-2</v>
      </c>
      <c r="E133" s="2">
        <f t="shared" si="123"/>
        <v>3980.0978939388065</v>
      </c>
      <c r="F133" s="9">
        <v>2.2986400000000001E-2</v>
      </c>
      <c r="G133" s="2">
        <f t="shared" si="124"/>
        <v>-5975.8532893587317</v>
      </c>
      <c r="H133" s="7">
        <f t="shared" si="113"/>
        <v>-1.501433745752639</v>
      </c>
      <c r="I133" s="9">
        <v>2.2986400000000001E-2</v>
      </c>
      <c r="J133" s="2">
        <v>-333.941864465084</v>
      </c>
      <c r="K133" s="13">
        <v>5.1125274725274803</v>
      </c>
      <c r="L133" s="9">
        <f t="shared" si="114"/>
        <v>5.8301285714285708E-2</v>
      </c>
      <c r="M133" s="2">
        <f t="shared" si="115"/>
        <v>3980.0978939388065</v>
      </c>
      <c r="N133" s="16">
        <f t="shared" si="125"/>
        <v>5.1125274725274803</v>
      </c>
    </row>
    <row r="134" spans="1:14" ht="17">
      <c r="A134" s="1" t="s">
        <v>131</v>
      </c>
      <c r="B134" s="6">
        <f t="shared" ref="B134" si="128">C134/11.36%</f>
        <v>142919.22293195952</v>
      </c>
      <c r="C134" s="2">
        <v>16235.6237250706</v>
      </c>
      <c r="D134" s="9">
        <v>7.7722539682539699E-2</v>
      </c>
      <c r="E134" s="2">
        <f t="shared" si="123"/>
        <v>4215.3348607501821</v>
      </c>
      <c r="F134" s="9">
        <v>1.8626311111111116E-2</v>
      </c>
      <c r="G134" s="2">
        <f t="shared" si="124"/>
        <v>-5158.2860804553884</v>
      </c>
      <c r="H134" s="7">
        <f t="shared" si="113"/>
        <v>-1.2236954478955424</v>
      </c>
      <c r="I134" s="9">
        <v>1.8626311111111116E-2</v>
      </c>
      <c r="J134" s="2">
        <v>-337.63639490883997</v>
      </c>
      <c r="K134" s="13">
        <v>5.1392857142857196</v>
      </c>
      <c r="L134" s="9">
        <f t="shared" si="114"/>
        <v>5.0519650793650804E-2</v>
      </c>
      <c r="M134" s="2">
        <f t="shared" si="115"/>
        <v>4215.3348607501821</v>
      </c>
      <c r="N134" s="16">
        <f t="shared" si="125"/>
        <v>5.1392857142857205</v>
      </c>
    </row>
    <row r="135" spans="1:14" ht="17">
      <c r="A135" s="1" t="s">
        <v>132</v>
      </c>
      <c r="B135" s="6">
        <f t="shared" ref="B135" si="129">C135/9.31%</f>
        <v>163075.63908832867</v>
      </c>
      <c r="C135" s="2">
        <v>15182.3419991234</v>
      </c>
      <c r="D135" s="9">
        <v>7.8639682539682607E-2</v>
      </c>
      <c r="E135" s="2">
        <f t="shared" si="123"/>
        <v>4009.146954717366</v>
      </c>
      <c r="F135" s="9">
        <v>1.8967111111111101E-2</v>
      </c>
      <c r="G135" s="2">
        <f t="shared" si="124"/>
        <v>-5024.2437958914516</v>
      </c>
      <c r="H135" s="7">
        <f t="shared" si="113"/>
        <v>-1.2531952189928262</v>
      </c>
      <c r="I135" s="9">
        <v>1.8967111111111101E-2</v>
      </c>
      <c r="J135" s="2">
        <v>-341.33092535259698</v>
      </c>
      <c r="K135" s="13">
        <v>5.1660439560439597</v>
      </c>
      <c r="L135" s="9">
        <f t="shared" si="114"/>
        <v>5.1115793650793696E-2</v>
      </c>
      <c r="M135" s="2">
        <f t="shared" si="115"/>
        <v>4009.146954717366</v>
      </c>
      <c r="N135" s="16">
        <f t="shared" si="125"/>
        <v>5.1660439560439597</v>
      </c>
    </row>
    <row r="136" spans="1:14" ht="17">
      <c r="A136" s="1" t="s">
        <v>133</v>
      </c>
      <c r="B136" s="6">
        <f t="shared" ref="B136:B137" si="130">C136/12.1%</f>
        <v>112195.98194369505</v>
      </c>
      <c r="C136" s="2">
        <v>13575.7138151871</v>
      </c>
      <c r="D136" s="9">
        <v>7.9556825396825404E-2</v>
      </c>
      <c r="E136" s="2">
        <f t="shared" si="123"/>
        <v>3645.484496945614</v>
      </c>
      <c r="F136" s="9">
        <v>1.9307911111111114E-2</v>
      </c>
      <c r="G136" s="2">
        <f t="shared" si="124"/>
        <v>-4676.7042320246637</v>
      </c>
      <c r="H136" s="7">
        <f t="shared" si="113"/>
        <v>-1.282875907425491</v>
      </c>
      <c r="I136" s="9">
        <v>1.9307911111111114E-2</v>
      </c>
      <c r="J136" s="2">
        <v>-345.02545579635301</v>
      </c>
      <c r="K136" s="13">
        <v>5.1928021978021999</v>
      </c>
      <c r="L136" s="9">
        <f t="shared" si="114"/>
        <v>5.1711936507936512E-2</v>
      </c>
      <c r="M136" s="2">
        <f t="shared" si="115"/>
        <v>3645.484496945614</v>
      </c>
      <c r="N136" s="16">
        <f t="shared" si="125"/>
        <v>5.1928021978021999</v>
      </c>
    </row>
    <row r="137" spans="1:14" ht="17">
      <c r="A137" s="1" t="s">
        <v>134</v>
      </c>
      <c r="B137" s="6">
        <f t="shared" si="130"/>
        <v>66583.045312330083</v>
      </c>
      <c r="C137" s="2">
        <v>8056.5484827919399</v>
      </c>
      <c r="D137" s="9">
        <v>8.0473968253968298E-2</v>
      </c>
      <c r="E137" s="2">
        <f t="shared" si="123"/>
        <v>2199.6406135773032</v>
      </c>
      <c r="F137" s="9">
        <v>2.1692711111111124E-2</v>
      </c>
      <c r="G137" s="2">
        <f t="shared" si="124"/>
        <v>-3187.9277523640089</v>
      </c>
      <c r="H137" s="7">
        <f t="shared" si="113"/>
        <v>-1.4492948223843902</v>
      </c>
      <c r="I137" s="9">
        <v>2.1692711111111124E-2</v>
      </c>
      <c r="J137" s="2">
        <v>-348.71998624011002</v>
      </c>
      <c r="K137" s="13">
        <v>5.2195604395604498</v>
      </c>
      <c r="L137" s="9">
        <f t="shared" si="114"/>
        <v>5.2308079365079398E-2</v>
      </c>
      <c r="M137" s="2">
        <f t="shared" si="115"/>
        <v>2199.6406135773032</v>
      </c>
      <c r="N137" s="16">
        <f t="shared" si="125"/>
        <v>5.2195604395604507</v>
      </c>
    </row>
    <row r="138" spans="1:14" ht="17">
      <c r="A138" s="1" t="s">
        <v>135</v>
      </c>
      <c r="B138" s="6">
        <f t="shared" ref="B138" si="131">C138/11.09%</f>
        <v>158455.29487027321</v>
      </c>
      <c r="C138" s="2">
        <v>17572.692201113299</v>
      </c>
      <c r="D138" s="9">
        <v>8.1391111111111095E-2</v>
      </c>
      <c r="E138" s="2">
        <f t="shared" si="123"/>
        <v>4877.3430594499432</v>
      </c>
      <c r="F138" s="9">
        <v>2.021351111111111E-2</v>
      </c>
      <c r="G138" s="2">
        <f t="shared" si="124"/>
        <v>-6622.533794805523</v>
      </c>
      <c r="H138" s="7">
        <f t="shared" si="113"/>
        <v>-1.35781586697582</v>
      </c>
      <c r="I138" s="9">
        <v>2.021351111111111E-2</v>
      </c>
      <c r="J138" s="2">
        <v>-352.414516683866</v>
      </c>
      <c r="K138" s="13">
        <v>5.2463186813186899</v>
      </c>
      <c r="L138" s="9">
        <f t="shared" si="114"/>
        <v>5.2904222222222214E-2</v>
      </c>
      <c r="M138" s="2">
        <f t="shared" si="115"/>
        <v>4877.3430594499432</v>
      </c>
      <c r="N138" s="16">
        <f t="shared" si="125"/>
        <v>5.2463186813186899</v>
      </c>
    </row>
    <row r="139" spans="1:14" ht="17">
      <c r="A139" s="1" t="s">
        <v>136</v>
      </c>
      <c r="B139" s="6">
        <f t="shared" ref="B139" si="132">C139/12.01%</f>
        <v>133775.61471730057</v>
      </c>
      <c r="C139" s="2">
        <v>16066.4513275478</v>
      </c>
      <c r="D139" s="9">
        <v>8.2308253968254003E-2</v>
      </c>
      <c r="E139" s="2">
        <f t="shared" si="123"/>
        <v>4532.531334000254</v>
      </c>
      <c r="F139" s="9">
        <v>2.030231111111112E-2</v>
      </c>
      <c r="G139" s="2">
        <f t="shared" si="124"/>
        <v>-6214.4857165044732</v>
      </c>
      <c r="H139" s="7">
        <f t="shared" si="113"/>
        <v>-1.3710849983291313</v>
      </c>
      <c r="I139" s="9">
        <v>2.030231111111112E-2</v>
      </c>
      <c r="J139" s="2">
        <v>-356.10904712762198</v>
      </c>
      <c r="K139" s="13">
        <v>5.2730769230769301</v>
      </c>
      <c r="L139" s="9">
        <f t="shared" si="114"/>
        <v>5.3500365079365106E-2</v>
      </c>
      <c r="M139" s="2">
        <f t="shared" si="115"/>
        <v>4532.531334000254</v>
      </c>
      <c r="N139" s="16">
        <f t="shared" si="125"/>
        <v>5.2730769230769301</v>
      </c>
    </row>
    <row r="140" spans="1:14" ht="17">
      <c r="A140" s="1" t="s">
        <v>137</v>
      </c>
      <c r="B140" s="6">
        <f t="shared" ref="B140" si="133">C140/10.26%</f>
        <v>97286.045815366568</v>
      </c>
      <c r="C140" s="2">
        <v>9981.5483006566101</v>
      </c>
      <c r="D140" s="9">
        <v>8.32253968253968E-2</v>
      </c>
      <c r="E140" s="2">
        <f t="shared" si="123"/>
        <v>2861.7356008509742</v>
      </c>
      <c r="F140" s="9">
        <v>2.0867111111111107E-2</v>
      </c>
      <c r="G140" s="2">
        <f t="shared" si="124"/>
        <v>-4054.1045996498042</v>
      </c>
      <c r="H140" s="7">
        <f t="shared" si="113"/>
        <v>-1.4166593861586179</v>
      </c>
      <c r="I140" s="9">
        <v>2.0867111111111107E-2</v>
      </c>
      <c r="J140" s="2">
        <v>-359.80357757137898</v>
      </c>
      <c r="K140" s="13">
        <v>5.2998351648351703</v>
      </c>
      <c r="L140" s="9">
        <f t="shared" si="114"/>
        <v>5.4096507936507922E-2</v>
      </c>
      <c r="M140" s="2">
        <f t="shared" si="115"/>
        <v>2861.7356008509742</v>
      </c>
      <c r="N140" s="16">
        <f t="shared" si="125"/>
        <v>5.2998351648351703</v>
      </c>
    </row>
    <row r="141" spans="1:14" ht="17">
      <c r="A141" s="1" t="s">
        <v>138</v>
      </c>
      <c r="B141" s="6">
        <f t="shared" ref="B141" si="134">C141/11.36%</f>
        <v>62439.41827979622</v>
      </c>
      <c r="C141" s="2">
        <v>7093.1179165848498</v>
      </c>
      <c r="D141" s="9">
        <v>8.4142539682539694E-2</v>
      </c>
      <c r="E141" s="2">
        <f t="shared" si="123"/>
        <v>2066.4062165745299</v>
      </c>
      <c r="F141" s="9">
        <v>2.081591111111112E-2</v>
      </c>
      <c r="G141" s="2">
        <f t="shared" si="124"/>
        <v>-2935.375951826531</v>
      </c>
      <c r="H141" s="7">
        <f t="shared" si="113"/>
        <v>-1.4205222227275756</v>
      </c>
      <c r="I141" s="9">
        <v>2.081591111111112E-2</v>
      </c>
      <c r="J141" s="2">
        <v>-363.49810801513502</v>
      </c>
      <c r="K141" s="13">
        <v>5.3265934065934104</v>
      </c>
      <c r="L141" s="9">
        <f t="shared" si="114"/>
        <v>5.46926507936508E-2</v>
      </c>
      <c r="M141" s="2">
        <f t="shared" si="115"/>
        <v>2066.4062165745299</v>
      </c>
      <c r="N141" s="16">
        <f t="shared" si="125"/>
        <v>5.3265934065934095</v>
      </c>
    </row>
    <row r="142" spans="1:14" ht="17">
      <c r="A142" s="1" t="s">
        <v>139</v>
      </c>
      <c r="B142" s="6">
        <f t="shared" ref="B142" si="135">C142/9.31%</f>
        <v>167252.84206778303</v>
      </c>
      <c r="C142" s="2">
        <v>15571.239596510601</v>
      </c>
      <c r="D142" s="9">
        <v>8.5059682539682602E-2</v>
      </c>
      <c r="E142" s="2">
        <f t="shared" si="123"/>
        <v>4608.7810177392948</v>
      </c>
      <c r="F142" s="9">
        <v>2.168871111111113E-2</v>
      </c>
      <c r="G142" s="2">
        <f t="shared" si="124"/>
        <v>-6856.2715717658384</v>
      </c>
      <c r="H142" s="7">
        <f t="shared" si="113"/>
        <v>-1.4876540120643409</v>
      </c>
      <c r="I142" s="9">
        <v>2.168871111111113E-2</v>
      </c>
      <c r="J142" s="2">
        <v>-367.19263845889202</v>
      </c>
      <c r="K142" s="13">
        <v>5.3533516483516497</v>
      </c>
      <c r="L142" s="9">
        <f t="shared" si="114"/>
        <v>5.5288793650793693E-2</v>
      </c>
      <c r="M142" s="2">
        <f t="shared" si="115"/>
        <v>4608.7810177392948</v>
      </c>
      <c r="N142" s="16">
        <f t="shared" si="125"/>
        <v>5.3533516483516488</v>
      </c>
    </row>
    <row r="143" spans="1:14" ht="17">
      <c r="A143" s="1" t="s">
        <v>140</v>
      </c>
      <c r="B143" s="6">
        <f t="shared" ref="B143:B144" si="136">C143/12.1%</f>
        <v>64714.586579366944</v>
      </c>
      <c r="C143" s="2">
        <v>7830.4649761033997</v>
      </c>
      <c r="D143" s="9">
        <v>8.5976825396825399E-2</v>
      </c>
      <c r="E143" s="2">
        <f t="shared" si="123"/>
        <v>2354.3631929980361</v>
      </c>
      <c r="F143" s="9">
        <v>2.0937511111111112E-2</v>
      </c>
      <c r="G143" s="2">
        <f t="shared" si="124"/>
        <v>-3398.2018891057292</v>
      </c>
      <c r="H143" s="7">
        <f t="shared" si="113"/>
        <v>-1.4433634960027018</v>
      </c>
      <c r="I143" s="9">
        <v>2.0937511111111112E-2</v>
      </c>
      <c r="J143" s="2">
        <v>-370.887168902648</v>
      </c>
      <c r="K143" s="13">
        <v>5.3801098901098996</v>
      </c>
      <c r="L143" s="9">
        <f t="shared" si="114"/>
        <v>5.5884936507936508E-2</v>
      </c>
      <c r="M143" s="2">
        <f t="shared" si="115"/>
        <v>2354.3631929980361</v>
      </c>
      <c r="N143" s="16">
        <f t="shared" si="125"/>
        <v>5.3801098901098996</v>
      </c>
    </row>
    <row r="144" spans="1:14" ht="17">
      <c r="A144" s="1" t="s">
        <v>141</v>
      </c>
      <c r="B144" s="6">
        <f t="shared" si="136"/>
        <v>79988.349822729841</v>
      </c>
      <c r="C144" s="2">
        <v>9678.59032855031</v>
      </c>
      <c r="D144" s="9">
        <v>8.6893968253968307E-2</v>
      </c>
      <c r="E144" s="2">
        <f t="shared" si="123"/>
        <v>2955.7035477722097</v>
      </c>
      <c r="F144" s="9">
        <v>2.1278311111111125E-2</v>
      </c>
      <c r="G144" s="2">
        <f t="shared" si="124"/>
        <v>-4357.1128179136895</v>
      </c>
      <c r="H144" s="7">
        <f t="shared" si="113"/>
        <v>-1.47413728998558</v>
      </c>
      <c r="I144" s="9">
        <v>2.1278311111111125E-2</v>
      </c>
      <c r="J144" s="2">
        <v>-374.581699346405</v>
      </c>
      <c r="K144" s="13">
        <v>5.4068681318681397</v>
      </c>
      <c r="L144" s="9">
        <f t="shared" si="114"/>
        <v>5.6481079365079401E-2</v>
      </c>
      <c r="M144" s="2">
        <f t="shared" si="115"/>
        <v>2955.7035477722097</v>
      </c>
      <c r="N144" s="16">
        <f t="shared" si="125"/>
        <v>5.4068681318681406</v>
      </c>
    </row>
    <row r="145" spans="1:14" ht="17">
      <c r="A145" s="1" t="s">
        <v>142</v>
      </c>
      <c r="B145" s="6">
        <f t="shared" ref="B145" si="137">C145/11.09%</f>
        <v>124418.78794530207</v>
      </c>
      <c r="C145" s="2">
        <v>13798.043583134</v>
      </c>
      <c r="D145" s="9">
        <v>8.7811111111111104E-2</v>
      </c>
      <c r="E145" s="2">
        <f t="shared" si="123"/>
        <v>4279.274184111925</v>
      </c>
      <c r="F145" s="9">
        <v>2.1619111111111113E-2</v>
      </c>
      <c r="G145" s="2">
        <f t="shared" si="124"/>
        <v>-6440.6133363451581</v>
      </c>
      <c r="H145" s="7">
        <f t="shared" si="113"/>
        <v>-1.5050714348376755</v>
      </c>
      <c r="I145" s="9">
        <v>2.1619111111111113E-2</v>
      </c>
      <c r="J145" s="2">
        <v>-378.27622979016098</v>
      </c>
      <c r="K145" s="13">
        <v>5.4336263736263799</v>
      </c>
      <c r="L145" s="9">
        <f t="shared" si="114"/>
        <v>5.7077222222222217E-2</v>
      </c>
      <c r="M145" s="2">
        <f t="shared" si="115"/>
        <v>4279.274184111925</v>
      </c>
      <c r="N145" s="16">
        <f t="shared" si="125"/>
        <v>5.433626373626379</v>
      </c>
    </row>
    <row r="146" spans="1:14" ht="17">
      <c r="A146" s="1" t="s">
        <v>143</v>
      </c>
      <c r="B146" s="6">
        <f t="shared" ref="B146" si="138">C146/12.01%</f>
        <v>63330.17538312856</v>
      </c>
      <c r="C146" s="2">
        <v>7605.95406351374</v>
      </c>
      <c r="D146" s="9">
        <v>8.8728253968253998E-2</v>
      </c>
      <c r="E146" s="2">
        <f t="shared" si="123"/>
        <v>2395.2575872871766</v>
      </c>
      <c r="F146" s="9">
        <v>2.3718311111111123E-2</v>
      </c>
      <c r="G146" s="2">
        <f t="shared" si="124"/>
        <v>-3974.137330893423</v>
      </c>
      <c r="H146" s="7">
        <f t="shared" si="113"/>
        <v>-1.6591690814324715</v>
      </c>
      <c r="I146" s="9">
        <v>2.3718311111111123E-2</v>
      </c>
      <c r="J146" s="2">
        <v>-381.97076023391799</v>
      </c>
      <c r="K146" s="13">
        <v>5.4603846153846201</v>
      </c>
      <c r="L146" s="9">
        <f t="shared" si="114"/>
        <v>5.7673365079365102E-2</v>
      </c>
      <c r="M146" s="2">
        <f t="shared" si="115"/>
        <v>2395.2575872871766</v>
      </c>
      <c r="N146" s="16">
        <f t="shared" si="125"/>
        <v>5.4603846153846209</v>
      </c>
    </row>
    <row r="147" spans="1:14" ht="17">
      <c r="A147" s="1" t="s">
        <v>144</v>
      </c>
      <c r="B147" s="6">
        <f t="shared" ref="B147" si="139">C147/10.26%</f>
        <v>123689.31391711698</v>
      </c>
      <c r="C147" s="2">
        <v>12690.523607896201</v>
      </c>
      <c r="D147" s="9">
        <v>8.9645396825396795E-2</v>
      </c>
      <c r="E147" s="2">
        <f t="shared" si="123"/>
        <v>4057.5806347812654</v>
      </c>
      <c r="F147" s="9">
        <v>2.2524711111111137E-2</v>
      </c>
      <c r="G147" s="2">
        <f t="shared" si="124"/>
        <v>-6423.7802589977591</v>
      </c>
      <c r="H147" s="7">
        <f t="shared" si="113"/>
        <v>-1.5831552930664186</v>
      </c>
      <c r="I147" s="9">
        <v>2.2524711111111137E-2</v>
      </c>
      <c r="J147" s="2">
        <v>-385.66529067767402</v>
      </c>
      <c r="K147" s="13">
        <v>5.4871428571428602</v>
      </c>
      <c r="L147" s="9">
        <f t="shared" si="114"/>
        <v>5.8269507936507918E-2</v>
      </c>
      <c r="M147" s="2">
        <f t="shared" si="115"/>
        <v>4057.5806347812654</v>
      </c>
      <c r="N147" s="16">
        <f t="shared" si="125"/>
        <v>5.4871428571428602</v>
      </c>
    </row>
    <row r="148" spans="1:14" ht="17">
      <c r="A148" s="1" t="s">
        <v>145</v>
      </c>
      <c r="B148" s="6">
        <f t="shared" ref="B148" si="140">C148/11.36%</f>
        <v>69788.940916160136</v>
      </c>
      <c r="C148" s="2">
        <v>7928.0236880757902</v>
      </c>
      <c r="D148" s="9">
        <v>9.0562539682539703E-2</v>
      </c>
      <c r="E148" s="2">
        <f t="shared" si="123"/>
        <v>2573.2729863348923</v>
      </c>
      <c r="F148" s="9">
        <v>2.261351111111112E-2</v>
      </c>
      <c r="G148" s="2">
        <f t="shared" si="124"/>
        <v>-4109.0934797989503</v>
      </c>
      <c r="H148" s="7">
        <f t="shared" si="113"/>
        <v>-1.5968354316156421</v>
      </c>
      <c r="I148" s="9">
        <v>2.261351111111112E-2</v>
      </c>
      <c r="J148" s="2">
        <v>-389.35982112143103</v>
      </c>
      <c r="K148" s="13">
        <v>5.5139010989011101</v>
      </c>
      <c r="L148" s="9">
        <f t="shared" si="114"/>
        <v>5.886565079365081E-2</v>
      </c>
      <c r="M148" s="2">
        <f t="shared" si="115"/>
        <v>2573.2729863348923</v>
      </c>
      <c r="N148" s="16">
        <f t="shared" si="125"/>
        <v>5.513901098901111</v>
      </c>
    </row>
    <row r="149" spans="1:14" ht="17">
      <c r="A149" s="1" t="s">
        <v>146</v>
      </c>
      <c r="B149" s="6">
        <f t="shared" ref="B149" si="141">C149/9.31%</f>
        <v>252008.6136544146</v>
      </c>
      <c r="C149" s="2">
        <v>23462.001931226001</v>
      </c>
      <c r="D149" s="9">
        <v>9.1479682539682597E-2</v>
      </c>
      <c r="E149" s="2">
        <f t="shared" si="123"/>
        <v>7729.7334961309134</v>
      </c>
      <c r="F149" s="9">
        <v>2.3178311111111131E-2</v>
      </c>
      <c r="G149" s="2">
        <f t="shared" si="124"/>
        <v>-12709.763468895278</v>
      </c>
      <c r="H149" s="7">
        <f t="shared" si="113"/>
        <v>-1.6442692979333762</v>
      </c>
      <c r="I149" s="9">
        <v>2.3178311111111131E-2</v>
      </c>
      <c r="J149" s="2">
        <v>-393.05435156518701</v>
      </c>
      <c r="K149" s="13">
        <v>5.5406593406593503</v>
      </c>
      <c r="L149" s="9">
        <f t="shared" si="114"/>
        <v>5.9461793650793689E-2</v>
      </c>
      <c r="M149" s="2">
        <f t="shared" si="115"/>
        <v>7729.7334961309134</v>
      </c>
      <c r="N149" s="16">
        <f t="shared" si="125"/>
        <v>5.5406593406593521</v>
      </c>
    </row>
    <row r="150" spans="1:14" ht="17">
      <c r="A150" s="1" t="s">
        <v>147</v>
      </c>
      <c r="B150" s="6">
        <f t="shared" ref="B150:B151" si="142">C150/12.1%</f>
        <v>161265.02797726283</v>
      </c>
      <c r="C150" s="2">
        <v>19513.0683852488</v>
      </c>
      <c r="D150" s="9">
        <v>9.2396825396825394E-2</v>
      </c>
      <c r="E150" s="2">
        <f t="shared" si="123"/>
        <v>6524.5380724852266</v>
      </c>
      <c r="F150" s="9">
        <v>2.3127111111111116E-2</v>
      </c>
      <c r="G150" s="2">
        <f t="shared" si="124"/>
        <v>-10753.084821868677</v>
      </c>
      <c r="H150" s="7">
        <f t="shared" si="113"/>
        <v>-1.648099022858913</v>
      </c>
      <c r="I150" s="9">
        <v>2.3127111111111116E-2</v>
      </c>
      <c r="J150" s="2">
        <v>-396.74888200894401</v>
      </c>
      <c r="K150" s="13">
        <v>5.5674175824175904</v>
      </c>
      <c r="L150" s="9">
        <f t="shared" si="114"/>
        <v>6.0057936507936505E-2</v>
      </c>
      <c r="M150" s="2">
        <f t="shared" si="115"/>
        <v>6524.5380724852266</v>
      </c>
      <c r="N150" s="16">
        <f t="shared" si="125"/>
        <v>5.5674175824175895</v>
      </c>
    </row>
    <row r="151" spans="1:14" ht="17">
      <c r="A151" s="1" t="s">
        <v>148</v>
      </c>
      <c r="B151" s="6">
        <f t="shared" si="142"/>
        <v>126007.57577234214</v>
      </c>
      <c r="C151" s="2">
        <v>15246.916668453399</v>
      </c>
      <c r="D151" s="9">
        <v>9.3313968253968302E-2</v>
      </c>
      <c r="E151" s="2">
        <f t="shared" si="123"/>
        <v>5173.4249584862691</v>
      </c>
      <c r="F151" s="9">
        <v>2.3999911111111129E-2</v>
      </c>
      <c r="G151" s="2">
        <f t="shared" si="124"/>
        <v>-8887.7704386561581</v>
      </c>
      <c r="H151" s="7">
        <f t="shared" si="113"/>
        <v>-1.7179664361569664</v>
      </c>
      <c r="I151" s="9">
        <v>2.3999911111111129E-2</v>
      </c>
      <c r="J151" s="2">
        <v>-400.44341245269999</v>
      </c>
      <c r="K151" s="13">
        <v>5.5941758241758297</v>
      </c>
      <c r="L151" s="9">
        <f t="shared" si="114"/>
        <v>6.0654079365079397E-2</v>
      </c>
      <c r="M151" s="2">
        <f t="shared" si="115"/>
        <v>5173.4249584862691</v>
      </c>
      <c r="N151" s="16">
        <f t="shared" si="125"/>
        <v>5.5941758241758297</v>
      </c>
    </row>
    <row r="152" spans="1:14" ht="17">
      <c r="A152" s="1" t="s">
        <v>149</v>
      </c>
      <c r="B152" s="6">
        <f t="shared" ref="B152" si="143">C152/11.09%</f>
        <v>411115.93566136976</v>
      </c>
      <c r="C152" s="2">
        <v>45592.757264845903</v>
      </c>
      <c r="D152" s="9">
        <v>9.4231111111111196E-2</v>
      </c>
      <c r="E152" s="2">
        <f t="shared" si="123"/>
        <v>15696.832251029093</v>
      </c>
      <c r="F152" s="9">
        <v>2.3248711111111136E-2</v>
      </c>
      <c r="G152" s="2">
        <f t="shared" si="124"/>
        <v>-26238.078893017566</v>
      </c>
      <c r="H152" s="7">
        <f t="shared" si="113"/>
        <v>-1.6715524809980296</v>
      </c>
      <c r="I152" s="9">
        <v>2.3248711111111136E-2</v>
      </c>
      <c r="J152" s="2">
        <v>-404.13794289645602</v>
      </c>
      <c r="K152" s="13">
        <v>5.6209340659340699</v>
      </c>
      <c r="L152" s="9">
        <f t="shared" si="114"/>
        <v>6.1250222222222282E-2</v>
      </c>
      <c r="M152" s="2">
        <f t="shared" si="115"/>
        <v>15696.832251029093</v>
      </c>
      <c r="N152" s="16">
        <f t="shared" si="125"/>
        <v>5.620934065934069</v>
      </c>
    </row>
    <row r="153" spans="1:14" ht="17">
      <c r="A153" s="1" t="s">
        <v>150</v>
      </c>
      <c r="B153" s="6">
        <f t="shared" ref="B153" si="144">C153/12.01%</f>
        <v>86288.12615625895</v>
      </c>
      <c r="C153" s="2">
        <v>10363.2039513667</v>
      </c>
      <c r="D153" s="9">
        <v>9.5148253968254007E-2</v>
      </c>
      <c r="E153" s="2">
        <f t="shared" si="123"/>
        <v>3619.7556354277808</v>
      </c>
      <c r="F153" s="9">
        <v>2.3589511111111121E-2</v>
      </c>
      <c r="G153" s="2">
        <f t="shared" si="124"/>
        <v>-6166.077351707173</v>
      </c>
      <c r="H153" s="7">
        <f t="shared" si="113"/>
        <v>-1.7034512748202322</v>
      </c>
      <c r="I153" s="9">
        <v>2.3589511111111121E-2</v>
      </c>
      <c r="J153" s="2">
        <v>-407.83247334021303</v>
      </c>
      <c r="K153" s="13">
        <v>5.64769230769231</v>
      </c>
      <c r="L153" s="9">
        <f t="shared" si="114"/>
        <v>6.1846365079365105E-2</v>
      </c>
      <c r="M153" s="2">
        <f t="shared" si="115"/>
        <v>3619.7556354277808</v>
      </c>
      <c r="N153" s="16">
        <f t="shared" si="125"/>
        <v>5.6476923076923109</v>
      </c>
    </row>
    <row r="154" spans="1:14" ht="17">
      <c r="A154" s="1" t="s">
        <v>151</v>
      </c>
      <c r="B154" s="6">
        <f t="shared" ref="B154" si="145">C154/10.26%</f>
        <v>519497.36609108676</v>
      </c>
      <c r="C154" s="2">
        <v>53300.429760945502</v>
      </c>
      <c r="D154" s="9">
        <v>9.6065396825396901E-2</v>
      </c>
      <c r="E154" s="2">
        <f t="shared" si="123"/>
        <v>18885.777296792065</v>
      </c>
      <c r="F154" s="9">
        <v>2.3930311111111133E-2</v>
      </c>
      <c r="G154" s="2">
        <f t="shared" si="124"/>
        <v>-32776.134377207192</v>
      </c>
      <c r="H154" s="7">
        <f t="shared" si="113"/>
        <v>-1.7354930041865178</v>
      </c>
      <c r="I154" s="9">
        <v>2.3930311111111133E-2</v>
      </c>
      <c r="J154" s="2">
        <v>-411.52700378396901</v>
      </c>
      <c r="K154" s="13">
        <v>5.6744505494505599</v>
      </c>
      <c r="L154" s="9">
        <f t="shared" si="114"/>
        <v>6.244250793650799E-2</v>
      </c>
      <c r="M154" s="2">
        <f t="shared" si="115"/>
        <v>18885.777296792065</v>
      </c>
      <c r="N154" s="16">
        <f t="shared" si="125"/>
        <v>5.674450549450559</v>
      </c>
    </row>
    <row r="155" spans="1:14" ht="17">
      <c r="A155" s="1" t="s">
        <v>152</v>
      </c>
      <c r="B155" s="6">
        <f t="shared" ref="B155" si="146">C155/11.36%</f>
        <v>71308.895271641377</v>
      </c>
      <c r="C155" s="2">
        <v>8100.6905028584597</v>
      </c>
      <c r="D155" s="9">
        <v>6.8777142857142898E-2</v>
      </c>
      <c r="E155" s="2">
        <f t="shared" si="123"/>
        <v>2064.6501538811613</v>
      </c>
      <c r="F155" s="9">
        <v>1.8417600000000013E-2</v>
      </c>
      <c r="G155" s="2">
        <f t="shared" si="124"/>
        <v>-2769.4430070069811</v>
      </c>
      <c r="H155" s="7">
        <f t="shared" si="113"/>
        <v>-1.3413618776047551</v>
      </c>
      <c r="I155" s="9">
        <v>1.8417600000000013E-2</v>
      </c>
      <c r="J155" s="2">
        <v>-415.22153422772601</v>
      </c>
      <c r="K155" s="13">
        <v>5.7012087912088001</v>
      </c>
      <c r="L155" s="9">
        <f t="shared" si="114"/>
        <v>4.4705142857142888E-2</v>
      </c>
      <c r="M155" s="2">
        <f t="shared" si="115"/>
        <v>2064.6501538811613</v>
      </c>
      <c r="N155" s="16">
        <f t="shared" si="125"/>
        <v>5.7012087912088001</v>
      </c>
    </row>
    <row r="156" spans="1:14" ht="17">
      <c r="A156" s="1" t="s">
        <v>153</v>
      </c>
      <c r="B156" s="6">
        <f t="shared" ref="B156" si="147">C156/9.31%</f>
        <v>180173.1227502664</v>
      </c>
      <c r="C156" s="2">
        <v>16774.117728049801</v>
      </c>
      <c r="D156" s="9">
        <v>6.9602857142857105E-2</v>
      </c>
      <c r="E156" s="2">
        <f t="shared" si="123"/>
        <v>4346.9097205515836</v>
      </c>
      <c r="F156" s="9">
        <v>1.6912799999999988E-2</v>
      </c>
      <c r="G156" s="2">
        <f t="shared" si="124"/>
        <v>-5376.784607673646</v>
      </c>
      <c r="H156" s="7">
        <f t="shared" si="113"/>
        <v>-1.2369211585538473</v>
      </c>
      <c r="I156" s="9">
        <v>1.6912799999999988E-2</v>
      </c>
      <c r="J156" s="2">
        <v>-418.91606467148199</v>
      </c>
      <c r="K156" s="13">
        <v>5.7279670329670402</v>
      </c>
      <c r="L156" s="9">
        <f t="shared" si="114"/>
        <v>4.5241857142857118E-2</v>
      </c>
      <c r="M156" s="2">
        <f t="shared" si="115"/>
        <v>4346.9097205515836</v>
      </c>
      <c r="N156" s="16">
        <f t="shared" si="125"/>
        <v>5.7279670329670411</v>
      </c>
    </row>
    <row r="157" spans="1:14" ht="17">
      <c r="A157" s="1" t="s">
        <v>154</v>
      </c>
      <c r="B157" s="6">
        <f t="shared" ref="B157:B158" si="148">C157/12.1%</f>
        <v>56510.638677741321</v>
      </c>
      <c r="C157" s="2">
        <v>6837.7872800066998</v>
      </c>
      <c r="D157" s="9">
        <v>7.0428571428571396E-2</v>
      </c>
      <c r="E157" s="2">
        <f t="shared" si="123"/>
        <v>1801.367892140202</v>
      </c>
      <c r="F157" s="9">
        <v>1.6975999999999995E-2</v>
      </c>
      <c r="G157" s="2">
        <f t="shared" si="124"/>
        <v>-2245.7094646401533</v>
      </c>
      <c r="H157" s="7">
        <f t="shared" si="113"/>
        <v>-1.2466689755261653</v>
      </c>
      <c r="I157" s="9">
        <v>1.6975999999999995E-2</v>
      </c>
      <c r="J157" s="2">
        <v>-422.61059511523899</v>
      </c>
      <c r="K157" s="13">
        <v>5.7547252747252804</v>
      </c>
      <c r="L157" s="9">
        <f t="shared" si="114"/>
        <v>4.5778571428571412E-2</v>
      </c>
      <c r="M157" s="2">
        <f t="shared" si="115"/>
        <v>1801.367892140202</v>
      </c>
      <c r="N157" s="16">
        <f t="shared" si="125"/>
        <v>5.7547252747252804</v>
      </c>
    </row>
    <row r="158" spans="1:14" ht="17">
      <c r="A158" s="1" t="s">
        <v>155</v>
      </c>
      <c r="B158" s="6">
        <f t="shared" si="148"/>
        <v>7702.7661928413063</v>
      </c>
      <c r="C158" s="2">
        <v>932.03470933379799</v>
      </c>
      <c r="D158" s="9">
        <v>6.9800000000000001E-2</v>
      </c>
      <c r="E158" s="2">
        <f t="shared" si="123"/>
        <v>244.4782099204312</v>
      </c>
      <c r="F158" s="9">
        <v>1.7108000000000002E-2</v>
      </c>
      <c r="G158" s="2">
        <f t="shared" si="124"/>
        <v>-308.40446788917245</v>
      </c>
      <c r="H158" s="7">
        <f t="shared" si="113"/>
        <v>-1.2614803911953827</v>
      </c>
      <c r="I158" s="9">
        <v>1.7108000000000002E-2</v>
      </c>
      <c r="J158" s="2">
        <v>-426.30512555899497</v>
      </c>
      <c r="K158" s="13">
        <v>5.7814835164835197</v>
      </c>
      <c r="L158" s="9">
        <f t="shared" si="114"/>
        <v>4.5370000000000001E-2</v>
      </c>
      <c r="M158" s="2">
        <f t="shared" si="115"/>
        <v>244.4782099204312</v>
      </c>
      <c r="N158" s="16">
        <f t="shared" si="125"/>
        <v>5.7814835164835188</v>
      </c>
    </row>
    <row r="159" spans="1:14" ht="17">
      <c r="A159" s="1" t="s">
        <v>156</v>
      </c>
      <c r="B159" s="6">
        <f t="shared" ref="B159" si="149">C159/11.09%</f>
        <v>124924.92769332192</v>
      </c>
      <c r="C159" s="2">
        <v>13854.1744811894</v>
      </c>
      <c r="D159" s="9">
        <v>5.8700000000000002E-2</v>
      </c>
      <c r="E159" s="2">
        <f t="shared" si="123"/>
        <v>3070.2716015951223</v>
      </c>
      <c r="F159" s="9">
        <v>1.3692000000000001E-2</v>
      </c>
      <c r="G159" s="2">
        <f t="shared" si="124"/>
        <v>-3112.1972125258853</v>
      </c>
      <c r="H159" s="7">
        <f t="shared" si="113"/>
        <v>-1.0136553427094142</v>
      </c>
      <c r="I159" s="9">
        <v>1.3692000000000001E-2</v>
      </c>
      <c r="J159" s="2">
        <v>-429.99965600275198</v>
      </c>
      <c r="K159" s="13">
        <v>5.8082417582417598</v>
      </c>
      <c r="L159" s="9">
        <f t="shared" si="114"/>
        <v>3.8155000000000001E-2</v>
      </c>
      <c r="M159" s="2">
        <f t="shared" si="115"/>
        <v>3070.2716015951223</v>
      </c>
      <c r="N159" s="16">
        <f t="shared" si="125"/>
        <v>5.8082417582417589</v>
      </c>
    </row>
    <row r="160" spans="1:14" ht="17">
      <c r="A160" s="1" t="s">
        <v>157</v>
      </c>
      <c r="B160" s="6">
        <f t="shared" ref="B160" si="150">C160/12.01%</f>
        <v>127994.18078617485</v>
      </c>
      <c r="C160" s="2">
        <v>15372.101112419599</v>
      </c>
      <c r="D160" s="9">
        <v>4.99E-2</v>
      </c>
      <c r="E160" s="2">
        <f t="shared" si="123"/>
        <v>2909.2965710570634</v>
      </c>
      <c r="F160" s="9">
        <v>1.1844E-2</v>
      </c>
      <c r="G160" s="2">
        <f t="shared" si="124"/>
        <v>-2561.1153200873946</v>
      </c>
      <c r="H160" s="7">
        <f t="shared" si="113"/>
        <v>-0.88032115583075099</v>
      </c>
      <c r="I160" s="9">
        <v>1.1844E-2</v>
      </c>
      <c r="J160" s="2">
        <v>-433.69418644650801</v>
      </c>
      <c r="K160" s="13">
        <v>5.8350000000000097</v>
      </c>
      <c r="L160" s="9">
        <f t="shared" si="114"/>
        <v>3.2434999999999999E-2</v>
      </c>
      <c r="M160" s="2">
        <f t="shared" si="115"/>
        <v>2909.2965710570634</v>
      </c>
      <c r="N160" s="16">
        <f t="shared" si="125"/>
        <v>5.8350000000000097</v>
      </c>
    </row>
    <row r="161" spans="1:14" ht="17">
      <c r="A161" s="1" t="s">
        <v>158</v>
      </c>
      <c r="B161" s="6">
        <f t="shared" ref="B161" si="151">C161/10.26%</f>
        <v>237774.93081695325</v>
      </c>
      <c r="C161" s="2">
        <v>24395.707901819402</v>
      </c>
      <c r="D161" s="9">
        <v>8.1100000000000005E-2</v>
      </c>
      <c r="E161" s="2">
        <f t="shared" si="123"/>
        <v>7538.3368219926379</v>
      </c>
      <c r="F161" s="9">
        <v>1.9572000000000003E-2</v>
      </c>
      <c r="G161" s="2">
        <f t="shared" si="124"/>
        <v>-11009.064552723401</v>
      </c>
      <c r="H161" s="7">
        <f t="shared" si="113"/>
        <v>-1.460410275195601</v>
      </c>
      <c r="I161" s="9">
        <v>1.9572000000000003E-2</v>
      </c>
      <c r="J161" s="2">
        <v>-437.38871689026399</v>
      </c>
      <c r="K161" s="13">
        <v>5.8617582417582499</v>
      </c>
      <c r="L161" s="9">
        <f t="shared" si="114"/>
        <v>5.2715000000000005E-2</v>
      </c>
      <c r="M161" s="2">
        <f t="shared" si="115"/>
        <v>7538.3368219926379</v>
      </c>
      <c r="N161" s="16">
        <f t="shared" si="125"/>
        <v>5.8617582417582499</v>
      </c>
    </row>
    <row r="162" spans="1:14" ht="17">
      <c r="A162" s="1" t="s">
        <v>159</v>
      </c>
      <c r="B162" s="6">
        <f t="shared" ref="B162" si="152">C162/11.36%</f>
        <v>185650.32143016902</v>
      </c>
      <c r="C162" s="2">
        <v>21089.8765144672</v>
      </c>
      <c r="D162" s="9">
        <v>5.4399999999999997E-2</v>
      </c>
      <c r="E162" s="2">
        <f t="shared" si="123"/>
        <v>4391.2907029535354</v>
      </c>
      <c r="F162" s="9">
        <v>1.218E-2</v>
      </c>
      <c r="G162" s="2">
        <f t="shared" si="124"/>
        <v>-4006.3985016228053</v>
      </c>
      <c r="H162" s="7">
        <f t="shared" si="113"/>
        <v>-0.91235100853790985</v>
      </c>
      <c r="I162" s="9">
        <v>1.218E-2</v>
      </c>
      <c r="J162" s="2">
        <v>-441.083247334021</v>
      </c>
      <c r="K162" s="13">
        <v>5.88851648351649</v>
      </c>
      <c r="L162" s="9">
        <f t="shared" si="114"/>
        <v>3.5360000000000003E-2</v>
      </c>
      <c r="M162" s="2">
        <f t="shared" si="115"/>
        <v>4391.2907029535354</v>
      </c>
      <c r="N162" s="16">
        <f t="shared" si="125"/>
        <v>5.88851648351649</v>
      </c>
    </row>
    <row r="163" spans="1:14" ht="17">
      <c r="A163" s="1" t="s">
        <v>160</v>
      </c>
      <c r="B163" s="6">
        <f t="shared" ref="B163" si="153">C163/9.31%</f>
        <v>102344.45290815424</v>
      </c>
      <c r="C163" s="2">
        <v>9528.2685657491602</v>
      </c>
      <c r="D163" s="9">
        <v>7.3499999999999996E-2</v>
      </c>
      <c r="E163" s="2">
        <f t="shared" si="123"/>
        <v>2692.7101352849877</v>
      </c>
      <c r="F163" s="9">
        <v>1.7612000000000003E-2</v>
      </c>
      <c r="G163" s="2">
        <f t="shared" si="124"/>
        <v>-3565.8776916071774</v>
      </c>
      <c r="H163" s="7">
        <f t="shared" si="113"/>
        <v>-1.3242709064300293</v>
      </c>
      <c r="I163" s="9">
        <v>1.7612000000000003E-2</v>
      </c>
      <c r="J163" s="2">
        <v>-444.77777777777698</v>
      </c>
      <c r="K163" s="13">
        <v>5.9152747252747302</v>
      </c>
      <c r="L163" s="9">
        <f t="shared" si="114"/>
        <v>4.7774999999999998E-2</v>
      </c>
      <c r="M163" s="2">
        <f t="shared" si="115"/>
        <v>2692.7101352849877</v>
      </c>
      <c r="N163" s="16">
        <f t="shared" si="125"/>
        <v>5.9152747252747293</v>
      </c>
    </row>
    <row r="164" spans="1:14" ht="17">
      <c r="A164" s="1" t="s">
        <v>161</v>
      </c>
      <c r="B164" s="6">
        <f t="shared" ref="B164:B165" si="154">C164/12.1%</f>
        <v>63616.50680403984</v>
      </c>
      <c r="C164" s="2">
        <v>7697.59732328882</v>
      </c>
      <c r="D164" s="9">
        <v>7.9799999999999996E-2</v>
      </c>
      <c r="E164" s="2">
        <f t="shared" si="123"/>
        <v>2372.5014882021492</v>
      </c>
      <c r="F164" s="9">
        <v>2.1503999999999999E-2</v>
      </c>
      <c r="G164" s="2">
        <f t="shared" si="124"/>
        <v>-3850.5814985018314</v>
      </c>
      <c r="H164" s="7">
        <f t="shared" si="113"/>
        <v>-1.6230048822518346</v>
      </c>
      <c r="I164" s="9">
        <v>2.1503999999999999E-2</v>
      </c>
      <c r="J164" s="2">
        <v>-448.47230822153398</v>
      </c>
      <c r="K164" s="13">
        <v>5.9420329670329703</v>
      </c>
      <c r="L164" s="9">
        <f t="shared" si="114"/>
        <v>5.1869999999999999E-2</v>
      </c>
      <c r="M164" s="2">
        <f t="shared" si="115"/>
        <v>2372.5014882021492</v>
      </c>
      <c r="N164" s="16">
        <f t="shared" si="125"/>
        <v>5.9420329670329712</v>
      </c>
    </row>
    <row r="165" spans="1:14" ht="17">
      <c r="A165" s="1" t="s">
        <v>162</v>
      </c>
      <c r="B165" s="6">
        <f t="shared" si="154"/>
        <v>116027.00335124628</v>
      </c>
      <c r="C165" s="2">
        <v>14039.267405500799</v>
      </c>
      <c r="D165" s="9">
        <v>6.8699999999999997E-2</v>
      </c>
      <c r="E165" s="2">
        <f t="shared" si="123"/>
        <v>3741.9753917776047</v>
      </c>
      <c r="F165" s="9">
        <v>1.6660000000000001E-2</v>
      </c>
      <c r="G165" s="2">
        <f t="shared" si="124"/>
        <v>-4722.6770190335992</v>
      </c>
      <c r="H165" s="7">
        <f t="shared" si="113"/>
        <v>-1.2620812604516134</v>
      </c>
      <c r="I165" s="9">
        <v>1.6660000000000001E-2</v>
      </c>
      <c r="J165" s="2">
        <v>-452.16683866529002</v>
      </c>
      <c r="K165" s="13">
        <v>5.9687912087912203</v>
      </c>
      <c r="L165" s="9">
        <f t="shared" si="114"/>
        <v>4.4655E-2</v>
      </c>
      <c r="M165" s="2">
        <f t="shared" si="115"/>
        <v>3741.9753917776047</v>
      </c>
      <c r="N165" s="16">
        <f t="shared" si="125"/>
        <v>5.9687912087912203</v>
      </c>
    </row>
    <row r="166" spans="1:14" ht="17">
      <c r="A166" s="1" t="s">
        <v>163</v>
      </c>
      <c r="B166" s="6">
        <f t="shared" ref="B166" si="155">C166/11.09%</f>
        <v>177278.43830171417</v>
      </c>
      <c r="C166" s="2">
        <v>19660.178807660101</v>
      </c>
      <c r="D166" s="9">
        <v>5.9900000000000002E-2</v>
      </c>
      <c r="E166" s="2">
        <f t="shared" si="123"/>
        <v>4589.4076133447379</v>
      </c>
      <c r="F166" s="9">
        <v>1.4028000000000001E-2</v>
      </c>
      <c r="G166" s="2">
        <f t="shared" si="124"/>
        <v>-4895.0393814929375</v>
      </c>
      <c r="H166" s="7">
        <f t="shared" si="113"/>
        <v>-1.0665950366359933</v>
      </c>
      <c r="I166" s="9">
        <v>1.4028000000000001E-2</v>
      </c>
      <c r="J166" s="2">
        <v>-455.86136910904702</v>
      </c>
      <c r="K166" s="13">
        <v>5.9955494505494604</v>
      </c>
      <c r="L166" s="9">
        <f t="shared" si="114"/>
        <v>3.8935000000000004E-2</v>
      </c>
      <c r="M166" s="2">
        <f t="shared" si="115"/>
        <v>4589.4076133447379</v>
      </c>
      <c r="N166" s="16">
        <f t="shared" si="125"/>
        <v>5.9955494505494613</v>
      </c>
    </row>
    <row r="167" spans="1:14" ht="17">
      <c r="A167" s="1" t="s">
        <v>164</v>
      </c>
      <c r="B167" s="6">
        <f t="shared" ref="B167" si="156">C167/12.01%</f>
        <v>83666.111273057453</v>
      </c>
      <c r="C167" s="2">
        <v>10048.2999638942</v>
      </c>
      <c r="D167" s="9">
        <v>8.1100000000000005E-2</v>
      </c>
      <c r="E167" s="2">
        <f t="shared" si="123"/>
        <v>3189.9930939226419</v>
      </c>
      <c r="F167" s="9">
        <v>2.0272000000000005E-2</v>
      </c>
      <c r="G167" s="2">
        <f t="shared" si="124"/>
        <v>-4934.7112493979785</v>
      </c>
      <c r="H167" s="7">
        <f t="shared" si="113"/>
        <v>-1.5469347751251421</v>
      </c>
      <c r="I167" s="9">
        <v>2.0272000000000005E-2</v>
      </c>
      <c r="J167" s="2">
        <v>-459.555899552803</v>
      </c>
      <c r="K167" s="13">
        <v>6.0223076923076997</v>
      </c>
      <c r="L167" s="9">
        <f t="shared" si="114"/>
        <v>5.2715000000000005E-2</v>
      </c>
      <c r="M167" s="2">
        <f t="shared" si="115"/>
        <v>3189.9930939226419</v>
      </c>
      <c r="N167" s="16">
        <f t="shared" si="125"/>
        <v>6.0223076923076997</v>
      </c>
    </row>
    <row r="168" spans="1:14" ht="17">
      <c r="A168" s="1" t="s">
        <v>165</v>
      </c>
      <c r="B168" s="6">
        <f t="shared" ref="B168" si="157">C168/10.26%</f>
        <v>154120.63083423686</v>
      </c>
      <c r="C168" s="2">
        <v>15812.7767235927</v>
      </c>
      <c r="D168" s="9">
        <v>5.4399999999999997E-2</v>
      </c>
      <c r="E168" s="2">
        <f t="shared" si="123"/>
        <v>3382.2734254992433</v>
      </c>
      <c r="F168" s="9">
        <v>1.2488000000000001E-2</v>
      </c>
      <c r="G168" s="2">
        <f t="shared" si="124"/>
        <v>-3234.6635616069561</v>
      </c>
      <c r="H168" s="7">
        <f t="shared" si="113"/>
        <v>-0.95635779686543254</v>
      </c>
      <c r="I168" s="9">
        <v>1.2488000000000001E-2</v>
      </c>
      <c r="J168" s="2">
        <v>-463.25042999656</v>
      </c>
      <c r="K168" s="13">
        <v>6.0490659340659398</v>
      </c>
      <c r="L168" s="9">
        <f t="shared" si="114"/>
        <v>3.5360000000000003E-2</v>
      </c>
      <c r="M168" s="2">
        <f t="shared" si="115"/>
        <v>3382.2734254992433</v>
      </c>
      <c r="N168" s="16">
        <f t="shared" si="125"/>
        <v>6.049065934065939</v>
      </c>
    </row>
    <row r="169" spans="1:14" ht="17">
      <c r="A169" s="1" t="s">
        <v>166</v>
      </c>
      <c r="B169" s="6">
        <f t="shared" ref="B169" si="158">C169/11.36%</f>
        <v>43094.219082625445</v>
      </c>
      <c r="C169" s="2">
        <v>4895.5032877862504</v>
      </c>
      <c r="D169" s="9">
        <v>8.0860000000000001E-2</v>
      </c>
      <c r="E169" s="2">
        <f t="shared" si="123"/>
        <v>1563.3263133263158</v>
      </c>
      <c r="F169" s="9">
        <v>2.0512800000000005E-2</v>
      </c>
      <c r="G169" s="2">
        <f t="shared" si="124"/>
        <v>-2464.5355012039904</v>
      </c>
      <c r="H169" s="7">
        <f t="shared" si="113"/>
        <v>-1.576469020060282</v>
      </c>
      <c r="I169" s="9">
        <v>2.0512800000000005E-2</v>
      </c>
      <c r="J169" s="2">
        <v>-466.94496044031598</v>
      </c>
      <c r="K169" s="13">
        <v>6.07582417582418</v>
      </c>
      <c r="L169" s="9">
        <f t="shared" si="114"/>
        <v>5.2559000000000002E-2</v>
      </c>
      <c r="M169" s="2">
        <f t="shared" si="115"/>
        <v>1563.3263133263158</v>
      </c>
      <c r="N169" s="16">
        <f t="shared" si="125"/>
        <v>6.07582417582418</v>
      </c>
    </row>
    <row r="170" spans="1:14" ht="17">
      <c r="A170" s="1" t="s">
        <v>167</v>
      </c>
      <c r="B170" s="6">
        <f t="shared" ref="B170" si="159">C170/9.31%</f>
        <v>261299.21957588184</v>
      </c>
      <c r="C170" s="2">
        <v>24326.957342514601</v>
      </c>
      <c r="D170" s="9">
        <v>7.0277142857142899E-2</v>
      </c>
      <c r="E170" s="2">
        <f t="shared" si="123"/>
        <v>6781.5489432702943</v>
      </c>
      <c r="F170" s="9">
        <v>1.6541600000000014E-2</v>
      </c>
      <c r="G170" s="2">
        <f t="shared" si="124"/>
        <v>-8651.2951214310069</v>
      </c>
      <c r="H170" s="7">
        <f t="shared" si="113"/>
        <v>-1.2757107843358064</v>
      </c>
      <c r="I170" s="9">
        <v>1.6541600000000014E-2</v>
      </c>
      <c r="J170" s="2">
        <v>-470.63949088407202</v>
      </c>
      <c r="K170" s="13">
        <v>6.1025824175824201</v>
      </c>
      <c r="L170" s="9">
        <f t="shared" si="114"/>
        <v>4.5680142857142884E-2</v>
      </c>
      <c r="M170" s="2">
        <f t="shared" si="115"/>
        <v>6781.5489432702943</v>
      </c>
      <c r="N170" s="16">
        <f t="shared" si="125"/>
        <v>6.102582417582421</v>
      </c>
    </row>
    <row r="171" spans="1:14" ht="17">
      <c r="A171" s="1" t="s">
        <v>168</v>
      </c>
      <c r="B171" s="6">
        <f t="shared" ref="B171:B172" si="160">C171/12.1%</f>
        <v>73670.849974157027</v>
      </c>
      <c r="C171" s="2">
        <v>8914.1728468729998</v>
      </c>
      <c r="D171" s="9">
        <v>8.3500000000000005E-2</v>
      </c>
      <c r="E171" s="2">
        <f t="shared" si="123"/>
        <v>2965.4775626059304</v>
      </c>
      <c r="F171" s="9">
        <v>2.0328000000000002E-2</v>
      </c>
      <c r="G171" s="2">
        <f t="shared" si="124"/>
        <v>-4665.0876758412578</v>
      </c>
      <c r="H171" s="7">
        <f t="shared" si="113"/>
        <v>-1.573132009045378</v>
      </c>
      <c r="I171" s="9">
        <v>2.0328000000000002E-2</v>
      </c>
      <c r="J171" s="2">
        <v>-474.33402132782902</v>
      </c>
      <c r="K171" s="13">
        <v>6.1293406593406701</v>
      </c>
      <c r="L171" s="9">
        <f t="shared" si="114"/>
        <v>5.4275000000000004E-2</v>
      </c>
      <c r="M171" s="2">
        <f t="shared" si="115"/>
        <v>2965.4775626059304</v>
      </c>
      <c r="N171" s="16">
        <f t="shared" si="125"/>
        <v>6.1293406593406692</v>
      </c>
    </row>
    <row r="172" spans="1:14" ht="17">
      <c r="A172" s="1" t="s">
        <v>169</v>
      </c>
      <c r="B172" s="6">
        <f t="shared" si="160"/>
        <v>69703.075777261241</v>
      </c>
      <c r="C172" s="2">
        <v>8434.0721690486098</v>
      </c>
      <c r="D172" s="9">
        <v>8.9800000000000005E-2</v>
      </c>
      <c r="E172" s="2">
        <f t="shared" si="123"/>
        <v>3030.6277433691225</v>
      </c>
      <c r="F172" s="9">
        <v>2.2176000000000005E-2</v>
      </c>
      <c r="G172" s="2">
        <f t="shared" si="124"/>
        <v>-5218.7207192165351</v>
      </c>
      <c r="H172" s="7">
        <f t="shared" si="113"/>
        <v>-1.7219933166106798</v>
      </c>
      <c r="I172" s="9">
        <v>2.2176000000000005E-2</v>
      </c>
      <c r="J172" s="2">
        <v>-478.028551771585</v>
      </c>
      <c r="K172" s="13">
        <v>6.1560989010989102</v>
      </c>
      <c r="L172" s="9">
        <f t="shared" si="114"/>
        <v>5.8370000000000005E-2</v>
      </c>
      <c r="M172" s="2">
        <f t="shared" si="115"/>
        <v>3030.6277433691225</v>
      </c>
      <c r="N172" s="16">
        <f t="shared" si="125"/>
        <v>6.1560989010989093</v>
      </c>
    </row>
    <row r="173" spans="1:14" ht="17">
      <c r="A173" s="1" t="s">
        <v>170</v>
      </c>
      <c r="B173" s="6">
        <f t="shared" ref="B173" si="161">C173/11.09%</f>
        <v>106114.57641399729</v>
      </c>
      <c r="C173" s="2">
        <v>11768.106524312299</v>
      </c>
      <c r="D173" s="9">
        <v>8.8700000000000001E-2</v>
      </c>
      <c r="E173" s="2">
        <f t="shared" si="123"/>
        <v>4195.0078660301888</v>
      </c>
      <c r="F173" s="9">
        <v>2.3996000000000003E-2</v>
      </c>
      <c r="G173" s="2">
        <f t="shared" si="124"/>
        <v>-7842.9577799552617</v>
      </c>
      <c r="H173" s="7">
        <f t="shared" si="113"/>
        <v>-1.8695931045719809</v>
      </c>
      <c r="I173" s="9">
        <v>2.3996000000000003E-2</v>
      </c>
      <c r="J173" s="2">
        <v>-481.723082215342</v>
      </c>
      <c r="K173" s="13">
        <v>6.1828571428571504</v>
      </c>
      <c r="L173" s="9">
        <f t="shared" si="114"/>
        <v>5.7655000000000005E-2</v>
      </c>
      <c r="M173" s="2">
        <f t="shared" si="115"/>
        <v>4195.0078660301888</v>
      </c>
      <c r="N173" s="16">
        <f t="shared" si="125"/>
        <v>6.1828571428571513</v>
      </c>
    </row>
    <row r="174" spans="1:14" ht="17">
      <c r="A174" s="1" t="s">
        <v>171</v>
      </c>
      <c r="B174" s="6">
        <f t="shared" ref="B174" si="162">C174/12.01%</f>
        <v>178506.7152662173</v>
      </c>
      <c r="C174" s="2">
        <v>21438.656503472699</v>
      </c>
      <c r="D174" s="9">
        <v>5.9900000000000002E-2</v>
      </c>
      <c r="E174" s="2">
        <f t="shared" si="123"/>
        <v>5183.2534609972918</v>
      </c>
      <c r="F174" s="9">
        <v>1.4196000000000002E-2</v>
      </c>
      <c r="G174" s="2">
        <f t="shared" si="124"/>
        <v>-5752.0051426048412</v>
      </c>
      <c r="H174" s="7">
        <f t="shared" si="113"/>
        <v>-1.109728703388184</v>
      </c>
      <c r="I174" s="9">
        <v>1.4196000000000002E-2</v>
      </c>
      <c r="J174" s="2">
        <v>-485.41761265909798</v>
      </c>
      <c r="K174" s="13">
        <v>6.2096153846153896</v>
      </c>
      <c r="L174" s="9">
        <f t="shared" si="114"/>
        <v>3.8935000000000004E-2</v>
      </c>
      <c r="M174" s="2">
        <f t="shared" si="115"/>
        <v>5183.2534609972918</v>
      </c>
      <c r="N174" s="16">
        <f t="shared" si="125"/>
        <v>6.2096153846153896</v>
      </c>
    </row>
    <row r="175" spans="1:14" ht="17">
      <c r="A175" s="1" t="s">
        <v>172</v>
      </c>
      <c r="B175" s="6">
        <f t="shared" ref="B175" si="163">C175/10.26%</f>
        <v>159375.18185543275</v>
      </c>
      <c r="C175" s="2">
        <v>16351.8936583674</v>
      </c>
      <c r="D175" s="9">
        <v>8.1100000000000005E-2</v>
      </c>
      <c r="E175" s="2">
        <f t="shared" si="123"/>
        <v>5375.6921649419519</v>
      </c>
      <c r="F175" s="9">
        <v>1.9964000000000003E-2</v>
      </c>
      <c r="G175" s="2">
        <f t="shared" si="124"/>
        <v>-8417.018297264287</v>
      </c>
      <c r="H175" s="7">
        <f t="shared" si="113"/>
        <v>-1.5657552625793214</v>
      </c>
      <c r="I175" s="9">
        <v>1.9964000000000003E-2</v>
      </c>
      <c r="J175" s="2">
        <v>-489.11214310285499</v>
      </c>
      <c r="K175" s="13">
        <v>6.2363736263736298</v>
      </c>
      <c r="L175" s="9">
        <f t="shared" si="114"/>
        <v>5.2715000000000005E-2</v>
      </c>
      <c r="M175" s="2">
        <f t="shared" si="115"/>
        <v>5375.6921649419519</v>
      </c>
      <c r="N175" s="16">
        <f t="shared" si="125"/>
        <v>6.2363736263736298</v>
      </c>
    </row>
    <row r="176" spans="1:14" ht="17">
      <c r="A176" s="1" t="s">
        <v>173</v>
      </c>
      <c r="B176" s="6">
        <f t="shared" ref="B176" si="164">C176/11.36%</f>
        <v>69929.631871519188</v>
      </c>
      <c r="C176" s="2">
        <v>7944.0061806045796</v>
      </c>
      <c r="D176" s="9">
        <v>7.4399999999999994E-2</v>
      </c>
      <c r="E176" s="2">
        <f t="shared" si="123"/>
        <v>2406.1207659556289</v>
      </c>
      <c r="F176" s="9">
        <v>1.8395999999999999E-2</v>
      </c>
      <c r="G176" s="2">
        <f t="shared" si="124"/>
        <v>-3482.7784362375423</v>
      </c>
      <c r="H176" s="7">
        <f t="shared" si="113"/>
        <v>-1.4474661810477754</v>
      </c>
      <c r="I176" s="9">
        <v>1.8395999999999999E-2</v>
      </c>
      <c r="J176" s="2">
        <v>-492.80667354661102</v>
      </c>
      <c r="K176" s="13">
        <v>6.26313186813187</v>
      </c>
      <c r="L176" s="9">
        <f t="shared" si="114"/>
        <v>4.836E-2</v>
      </c>
      <c r="M176" s="2">
        <f t="shared" si="115"/>
        <v>2406.1207659556289</v>
      </c>
      <c r="N176" s="16">
        <f t="shared" si="125"/>
        <v>6.2631318681318691</v>
      </c>
    </row>
    <row r="177" spans="1:14" ht="17">
      <c r="A177" s="1" t="s">
        <v>174</v>
      </c>
      <c r="B177" s="6">
        <f t="shared" ref="B177" si="165">C177/9.31%</f>
        <v>223172.75154951878</v>
      </c>
      <c r="C177" s="2">
        <v>20777.3831692602</v>
      </c>
      <c r="D177" s="9">
        <v>8.0860000000000001E-2</v>
      </c>
      <c r="E177" s="2">
        <f t="shared" si="123"/>
        <v>6868.8020475081148</v>
      </c>
      <c r="F177" s="9">
        <v>1.9896800000000003E-2</v>
      </c>
      <c r="G177" s="2">
        <f t="shared" si="124"/>
        <v>-10788.013545209322</v>
      </c>
      <c r="H177" s="7">
        <f t="shared" si="113"/>
        <v>-1.5705815177950908</v>
      </c>
      <c r="I177" s="9">
        <v>1.9896800000000003E-2</v>
      </c>
      <c r="J177" s="2">
        <v>-496.50120399036803</v>
      </c>
      <c r="K177" s="13">
        <v>6.2898901098901199</v>
      </c>
      <c r="L177" s="9">
        <f t="shared" si="114"/>
        <v>5.2559000000000002E-2</v>
      </c>
      <c r="M177" s="2">
        <f t="shared" si="115"/>
        <v>6868.8020475081148</v>
      </c>
      <c r="N177" s="16">
        <f t="shared" si="125"/>
        <v>6.2898901098901208</v>
      </c>
    </row>
    <row r="178" spans="1:14" ht="17">
      <c r="A178" s="1" t="s">
        <v>175</v>
      </c>
      <c r="B178" s="6">
        <f t="shared" ref="B178:B179" si="166">C178/12.1%</f>
        <v>27574.673783700251</v>
      </c>
      <c r="C178" s="2">
        <v>3336.5355278277302</v>
      </c>
      <c r="D178" s="9">
        <v>7.0277142857142899E-2</v>
      </c>
      <c r="E178" s="2">
        <f t="shared" si="123"/>
        <v>962.7419754271001</v>
      </c>
      <c r="F178" s="9">
        <v>1.7549600000000016E-2</v>
      </c>
      <c r="G178" s="2">
        <f t="shared" si="124"/>
        <v>-1337.9208233444515</v>
      </c>
      <c r="H178" s="7">
        <f t="shared" si="113"/>
        <v>-1.3896982343071842</v>
      </c>
      <c r="I178" s="9">
        <v>1.7549600000000016E-2</v>
      </c>
      <c r="J178" s="2">
        <v>-500.19573443412401</v>
      </c>
      <c r="K178" s="13">
        <v>6.31664835164836</v>
      </c>
      <c r="L178" s="9">
        <f t="shared" si="114"/>
        <v>4.5680142857142884E-2</v>
      </c>
      <c r="M178" s="2">
        <f t="shared" si="115"/>
        <v>962.7419754271001</v>
      </c>
      <c r="N178" s="16">
        <f t="shared" si="125"/>
        <v>6.3166483516483591</v>
      </c>
    </row>
    <row r="179" spans="1:14" ht="17">
      <c r="A179" s="1" t="s">
        <v>176</v>
      </c>
      <c r="B179" s="6">
        <f t="shared" si="166"/>
        <v>114455.60328627603</v>
      </c>
      <c r="C179" s="2">
        <v>13849.1279976394</v>
      </c>
      <c r="D179" s="9">
        <v>8.9694285714285699E-2</v>
      </c>
      <c r="E179" s="2">
        <f t="shared" si="123"/>
        <v>5121.80583727462</v>
      </c>
      <c r="F179" s="9">
        <v>2.3718311111111123E-2</v>
      </c>
      <c r="G179" s="2">
        <f t="shared" si="124"/>
        <v>-9649.8439598150526</v>
      </c>
      <c r="H179" s="7">
        <f t="shared" si="113"/>
        <v>-1.8840706318047116</v>
      </c>
      <c r="I179" s="9">
        <v>2.3718311111111123E-2</v>
      </c>
      <c r="J179" s="2">
        <v>-503.89026487787999</v>
      </c>
      <c r="K179" s="13">
        <v>6.3434065934066002</v>
      </c>
      <c r="L179" s="9">
        <f t="shared" si="114"/>
        <v>5.8301285714285708E-2</v>
      </c>
      <c r="M179" s="2">
        <f t="shared" si="115"/>
        <v>5121.80583727462</v>
      </c>
      <c r="N179" s="16">
        <f t="shared" si="125"/>
        <v>6.3434065934066011</v>
      </c>
    </row>
    <row r="180" spans="1:14" ht="17">
      <c r="A180" s="1" t="s">
        <v>177</v>
      </c>
      <c r="B180" s="6">
        <f t="shared" ref="B180" si="167">C180/11.09%</f>
        <v>97204.360411273214</v>
      </c>
      <c r="C180" s="2">
        <v>10779.9635696102</v>
      </c>
      <c r="D180" s="9">
        <v>7.7722539682539699E-2</v>
      </c>
      <c r="E180" s="2">
        <f t="shared" si="123"/>
        <v>3469.191738048718</v>
      </c>
      <c r="F180" s="9">
        <v>1.8710311111111121E-2</v>
      </c>
      <c r="G180" s="2">
        <f t="shared" si="124"/>
        <v>-5172.1039682143364</v>
      </c>
      <c r="H180" s="7">
        <f t="shared" si="113"/>
        <v>-1.4908671410371335</v>
      </c>
      <c r="I180" s="9">
        <v>1.8710311111111121E-2</v>
      </c>
      <c r="J180" s="2">
        <v>-507.58479532163699</v>
      </c>
      <c r="K180" s="13">
        <v>6.3701648351648403</v>
      </c>
      <c r="L180" s="9">
        <f t="shared" si="114"/>
        <v>5.0519650793650804E-2</v>
      </c>
      <c r="M180" s="2">
        <f t="shared" si="115"/>
        <v>3469.191738048718</v>
      </c>
      <c r="N180" s="16">
        <f t="shared" si="125"/>
        <v>6.3701648351648403</v>
      </c>
    </row>
    <row r="181" spans="1:14" ht="17">
      <c r="A181" s="1" t="s">
        <v>178</v>
      </c>
      <c r="B181" s="6">
        <f t="shared" ref="B181" si="168">C181/12.01%</f>
        <v>86082.039410482932</v>
      </c>
      <c r="C181" s="2">
        <v>10338.452933199</v>
      </c>
      <c r="D181" s="9">
        <v>7.8639682539682607E-2</v>
      </c>
      <c r="E181" s="2">
        <f t="shared" si="123"/>
        <v>3380.5066262185596</v>
      </c>
      <c r="F181" s="9">
        <v>1.905111111111113E-2</v>
      </c>
      <c r="G181" s="2">
        <f t="shared" si="124"/>
        <v>-5147.415251139726</v>
      </c>
      <c r="H181" s="7">
        <f t="shared" si="113"/>
        <v>-1.522675687489373</v>
      </c>
      <c r="I181" s="9">
        <v>1.905111111111113E-2</v>
      </c>
      <c r="J181" s="2">
        <v>-511.27932576539303</v>
      </c>
      <c r="K181" s="13">
        <v>6.3969230769230796</v>
      </c>
      <c r="L181" s="9">
        <f t="shared" si="114"/>
        <v>5.1115793650793696E-2</v>
      </c>
      <c r="M181" s="2">
        <f t="shared" si="115"/>
        <v>3380.5066262185596</v>
      </c>
      <c r="N181" s="16">
        <f t="shared" si="125"/>
        <v>6.3969230769230805</v>
      </c>
    </row>
    <row r="182" spans="1:14" ht="17">
      <c r="A182" s="1" t="s">
        <v>179</v>
      </c>
      <c r="B182" s="6">
        <f t="shared" ref="B182" si="169">C182/10.26%</f>
        <v>131026.26056365107</v>
      </c>
      <c r="C182" s="2">
        <v>13443.294333830599</v>
      </c>
      <c r="D182" s="9">
        <v>7.9556825396825404E-2</v>
      </c>
      <c r="E182" s="2">
        <f t="shared" si="123"/>
        <v>4465.6069618125957</v>
      </c>
      <c r="F182" s="9">
        <v>2.1435911111111115E-2</v>
      </c>
      <c r="G182" s="2">
        <f t="shared" si="124"/>
        <v>-7674.0325695792208</v>
      </c>
      <c r="H182" s="7">
        <f t="shared" si="113"/>
        <v>-1.7184746967664886</v>
      </c>
      <c r="I182" s="9">
        <v>2.1435911111111115E-2</v>
      </c>
      <c r="J182" s="2">
        <v>-514.97385620914997</v>
      </c>
      <c r="K182" s="13">
        <v>6.4236813186813304</v>
      </c>
      <c r="L182" s="9">
        <f t="shared" si="114"/>
        <v>5.1711936507936512E-2</v>
      </c>
      <c r="M182" s="2">
        <f t="shared" si="115"/>
        <v>4465.6069618125957</v>
      </c>
      <c r="N182" s="16">
        <f t="shared" si="125"/>
        <v>6.4236813186813304</v>
      </c>
    </row>
    <row r="183" spans="1:14" ht="17">
      <c r="A183" s="1" t="s">
        <v>180</v>
      </c>
      <c r="B183" s="6">
        <f t="shared" ref="B183" si="170">C183/11.36%</f>
        <v>122422.00680665053</v>
      </c>
      <c r="C183" s="2">
        <v>13907.1399732355</v>
      </c>
      <c r="D183" s="9">
        <v>8.0473968253968298E-2</v>
      </c>
      <c r="E183" s="2">
        <f t="shared" si="123"/>
        <v>4692.4095512082622</v>
      </c>
      <c r="F183" s="9">
        <v>1.9956711111111126E-2</v>
      </c>
      <c r="G183" s="2">
        <f t="shared" si="124"/>
        <v>-7529.8330728457286</v>
      </c>
      <c r="H183" s="7">
        <f t="shared" si="113"/>
        <v>-1.6046836898341172</v>
      </c>
      <c r="I183" s="9">
        <v>1.9956711111111126E-2</v>
      </c>
      <c r="J183" s="2">
        <v>-518.66838665290595</v>
      </c>
      <c r="K183" s="13">
        <v>6.4504395604395697</v>
      </c>
      <c r="L183" s="9">
        <f t="shared" si="114"/>
        <v>5.2308079365079398E-2</v>
      </c>
      <c r="M183" s="2">
        <f t="shared" si="115"/>
        <v>4692.4095512082622</v>
      </c>
      <c r="N183" s="16">
        <f t="shared" si="125"/>
        <v>6.4504395604395697</v>
      </c>
    </row>
    <row r="184" spans="1:14" ht="17">
      <c r="A184" s="1" t="s">
        <v>181</v>
      </c>
      <c r="B184" s="6">
        <f t="shared" ref="B184" si="171">C184/9.31%</f>
        <v>170246.76445249945</v>
      </c>
      <c r="C184" s="2">
        <v>15849.9737705277</v>
      </c>
      <c r="D184" s="9">
        <v>8.1391111111111095E-2</v>
      </c>
      <c r="E184" s="2">
        <f t="shared" si="123"/>
        <v>5431.3281356080442</v>
      </c>
      <c r="F184" s="9">
        <v>2.0045511111111112E-2</v>
      </c>
      <c r="G184" s="2">
        <f t="shared" si="124"/>
        <v>-8780.2797742887469</v>
      </c>
      <c r="H184" s="7">
        <f t="shared" si="113"/>
        <v>-1.6165990260696674</v>
      </c>
      <c r="I184" s="9">
        <v>2.0045511111111112E-2</v>
      </c>
      <c r="J184" s="2">
        <v>-522.36291709666295</v>
      </c>
      <c r="K184" s="13">
        <v>6.4771978021978098</v>
      </c>
      <c r="L184" s="9">
        <f t="shared" si="114"/>
        <v>5.2904222222222214E-2</v>
      </c>
      <c r="M184" s="2">
        <f t="shared" si="115"/>
        <v>5431.3281356080442</v>
      </c>
      <c r="N184" s="16">
        <f t="shared" si="125"/>
        <v>6.4771978021978089</v>
      </c>
    </row>
    <row r="185" spans="1:14" ht="17">
      <c r="A185" s="1" t="s">
        <v>182</v>
      </c>
      <c r="B185" s="6">
        <f t="shared" ref="B185:B186" si="172">C185/12.1%</f>
        <v>75168.938039273897</v>
      </c>
      <c r="C185" s="2">
        <v>9095.4415027521409</v>
      </c>
      <c r="D185" s="9">
        <v>8.2308253968254003E-2</v>
      </c>
      <c r="E185" s="2">
        <f t="shared" si="123"/>
        <v>3164.8864145469647</v>
      </c>
      <c r="F185" s="9">
        <v>2.0610311111111123E-2</v>
      </c>
      <c r="G185" s="2">
        <f t="shared" si="124"/>
        <v>-5275.9206062677304</v>
      </c>
      <c r="H185" s="7">
        <f t="shared" si="113"/>
        <v>-1.6670173634092167</v>
      </c>
      <c r="I185" s="9">
        <v>2.0610311111111123E-2</v>
      </c>
      <c r="J185" s="2">
        <v>-526.05744754041905</v>
      </c>
      <c r="K185" s="13">
        <v>6.50395604395605</v>
      </c>
      <c r="L185" s="9">
        <f t="shared" si="114"/>
        <v>5.3500365079365106E-2</v>
      </c>
      <c r="M185" s="2">
        <f t="shared" si="115"/>
        <v>3164.8864145469647</v>
      </c>
      <c r="N185" s="16">
        <f t="shared" si="125"/>
        <v>6.5039560439560509</v>
      </c>
    </row>
    <row r="186" spans="1:14" ht="17">
      <c r="A186" s="1" t="s">
        <v>183</v>
      </c>
      <c r="B186" s="6">
        <f t="shared" si="172"/>
        <v>57627.031045225376</v>
      </c>
      <c r="C186" s="2">
        <v>6972.8707564722699</v>
      </c>
      <c r="D186" s="9">
        <v>8.32253968253968E-2</v>
      </c>
      <c r="E186" s="2">
        <f t="shared" si="123"/>
        <v>2463.4374014177538</v>
      </c>
      <c r="F186" s="9">
        <v>2.0559111111111104E-2</v>
      </c>
      <c r="G186" s="2">
        <f t="shared" si="124"/>
        <v>-4108.258546552177</v>
      </c>
      <c r="H186" s="7">
        <f t="shared" ref="H186:H249" si="173">G186/E186</f>
        <v>-1.6676935018473773</v>
      </c>
      <c r="I186" s="9">
        <v>2.0559111111111104E-2</v>
      </c>
      <c r="J186" s="2">
        <v>-529.75197798417605</v>
      </c>
      <c r="K186" s="13">
        <v>6.5307142857142901</v>
      </c>
      <c r="L186" s="9">
        <f t="shared" ref="L186:L249" si="174">D186*65%</f>
        <v>5.4096507936507922E-2</v>
      </c>
      <c r="M186" s="2">
        <f t="shared" ref="M186:M249" si="175">C186*L186*K186</f>
        <v>2463.4374014177538</v>
      </c>
      <c r="N186" s="16">
        <f t="shared" si="125"/>
        <v>6.530714285714291</v>
      </c>
    </row>
    <row r="187" spans="1:14" ht="17">
      <c r="A187" s="1" t="s">
        <v>184</v>
      </c>
      <c r="B187" s="6">
        <f t="shared" ref="B187" si="176">C187/11.09%</f>
        <v>117513.30125967448</v>
      </c>
      <c r="C187" s="2">
        <v>13032.2251096979</v>
      </c>
      <c r="D187" s="9">
        <v>8.4142539682539694E-2</v>
      </c>
      <c r="E187" s="2">
        <f t="shared" si="123"/>
        <v>4673.9496077958147</v>
      </c>
      <c r="F187" s="9">
        <v>2.1431911111111118E-2</v>
      </c>
      <c r="G187" s="2">
        <f t="shared" si="124"/>
        <v>-8148.9062640765769</v>
      </c>
      <c r="H187" s="7">
        <f t="shared" si="173"/>
        <v>-1.7434732823145509</v>
      </c>
      <c r="I187" s="9">
        <v>2.1431911111111118E-2</v>
      </c>
      <c r="J187" s="2">
        <v>-533.44650842793203</v>
      </c>
      <c r="K187" s="13">
        <v>6.5574725274725303</v>
      </c>
      <c r="L187" s="9">
        <f t="shared" si="174"/>
        <v>5.46926507936508E-2</v>
      </c>
      <c r="M187" s="2">
        <f t="shared" si="175"/>
        <v>4673.9496077958147</v>
      </c>
      <c r="N187" s="16">
        <f t="shared" si="125"/>
        <v>6.5574725274725312</v>
      </c>
    </row>
    <row r="188" spans="1:14" ht="17">
      <c r="A188" s="1" t="s">
        <v>185</v>
      </c>
      <c r="B188" s="6">
        <f t="shared" ref="B188" si="177">C188/12.01%</f>
        <v>104325.08486689592</v>
      </c>
      <c r="C188" s="2">
        <v>12529.4426925142</v>
      </c>
      <c r="D188" s="9">
        <v>8.5059682539682602E-2</v>
      </c>
      <c r="E188" s="2">
        <f t="shared" si="123"/>
        <v>4561.1453506840007</v>
      </c>
      <c r="F188" s="9">
        <v>2.0680711111111132E-2</v>
      </c>
      <c r="G188" s="2">
        <f t="shared" si="124"/>
        <v>-7695.2488915279355</v>
      </c>
      <c r="H188" s="7">
        <f t="shared" si="173"/>
        <v>-1.687130819098746</v>
      </c>
      <c r="I188" s="9">
        <v>2.0680711111111132E-2</v>
      </c>
      <c r="J188" s="2">
        <v>-537.14103887168801</v>
      </c>
      <c r="K188" s="13">
        <v>6.5842307692307802</v>
      </c>
      <c r="L188" s="9">
        <f t="shared" si="174"/>
        <v>5.5288793650793693E-2</v>
      </c>
      <c r="M188" s="2">
        <f t="shared" si="175"/>
        <v>4561.1453506840007</v>
      </c>
      <c r="N188" s="16">
        <f t="shared" si="125"/>
        <v>6.5842307692307811</v>
      </c>
    </row>
    <row r="189" spans="1:14" ht="17">
      <c r="A189" s="1" t="s">
        <v>186</v>
      </c>
      <c r="B189" s="6">
        <f t="shared" ref="B189" si="178">C189/10.26%</f>
        <v>144480.75617835089</v>
      </c>
      <c r="C189" s="2">
        <v>14823.7255838988</v>
      </c>
      <c r="D189" s="9">
        <v>8.5976825396825399E-2</v>
      </c>
      <c r="E189" s="2">
        <f t="shared" si="123"/>
        <v>5476.6951052886088</v>
      </c>
      <c r="F189" s="9">
        <v>2.1021511111111117E-2</v>
      </c>
      <c r="G189" s="2">
        <f t="shared" si="124"/>
        <v>-9418.4905533873734</v>
      </c>
      <c r="H189" s="7">
        <f t="shared" si="173"/>
        <v>-1.7197398015259864</v>
      </c>
      <c r="I189" s="9">
        <v>2.1021511111111117E-2</v>
      </c>
      <c r="J189" s="2">
        <v>-540.83556931544501</v>
      </c>
      <c r="K189" s="13">
        <v>6.6109890109890204</v>
      </c>
      <c r="L189" s="9">
        <f t="shared" si="174"/>
        <v>5.5884936507936508E-2</v>
      </c>
      <c r="M189" s="2">
        <f t="shared" si="175"/>
        <v>5476.6951052886088</v>
      </c>
      <c r="N189" s="16">
        <f t="shared" si="125"/>
        <v>6.6109890109890195</v>
      </c>
    </row>
    <row r="190" spans="1:14" ht="17">
      <c r="A190" s="1" t="s">
        <v>187</v>
      </c>
      <c r="B190" s="6">
        <f t="shared" ref="B190" si="179">C190/11.36%</f>
        <v>98297.429688493838</v>
      </c>
      <c r="C190" s="2">
        <v>11166.5880126129</v>
      </c>
      <c r="D190" s="9">
        <v>8.6893968253968307E-2</v>
      </c>
      <c r="E190" s="2">
        <f t="shared" si="123"/>
        <v>4186.4334568644263</v>
      </c>
      <c r="F190" s="9">
        <v>2.1362311111111126E-2</v>
      </c>
      <c r="G190" s="2">
        <f t="shared" si="124"/>
        <v>-7336.579155663142</v>
      </c>
      <c r="H190" s="7">
        <f t="shared" si="173"/>
        <v>-1.7524652502557931</v>
      </c>
      <c r="I190" s="9">
        <v>2.1362311111111126E-2</v>
      </c>
      <c r="J190" s="2">
        <v>-544.53009975920099</v>
      </c>
      <c r="K190" s="13">
        <v>6.6377472527472596</v>
      </c>
      <c r="L190" s="9">
        <f t="shared" si="174"/>
        <v>5.6481079365079401E-2</v>
      </c>
      <c r="M190" s="2">
        <f t="shared" si="175"/>
        <v>4186.4334568644263</v>
      </c>
      <c r="N190" s="16">
        <f t="shared" si="125"/>
        <v>6.6377472527472587</v>
      </c>
    </row>
    <row r="191" spans="1:14" ht="17">
      <c r="A191" s="1" t="s">
        <v>188</v>
      </c>
      <c r="B191" s="6">
        <f t="shared" ref="B191" si="180">C191/9.31%</f>
        <v>165385.01379162085</v>
      </c>
      <c r="C191" s="2">
        <v>15397.344783999901</v>
      </c>
      <c r="D191" s="9">
        <v>8.7811111111111104E-2</v>
      </c>
      <c r="E191" s="2">
        <f t="shared" si="123"/>
        <v>5857.0184796172725</v>
      </c>
      <c r="F191" s="9">
        <v>2.3747111111111111E-2</v>
      </c>
      <c r="G191" s="2">
        <f t="shared" si="124"/>
        <v>-11441.368975601907</v>
      </c>
      <c r="H191" s="7">
        <f t="shared" si="173"/>
        <v>-1.9534459410395346</v>
      </c>
      <c r="I191" s="9">
        <v>2.3747111111111111E-2</v>
      </c>
      <c r="J191" s="2">
        <v>-548.224630202958</v>
      </c>
      <c r="K191" s="13">
        <v>6.6645054945054998</v>
      </c>
      <c r="L191" s="9">
        <f t="shared" si="174"/>
        <v>5.7077222222222217E-2</v>
      </c>
      <c r="M191" s="2">
        <f t="shared" si="175"/>
        <v>5857.0184796172725</v>
      </c>
      <c r="N191" s="16">
        <f t="shared" si="125"/>
        <v>6.6645054945054989</v>
      </c>
    </row>
    <row r="192" spans="1:14" ht="17">
      <c r="A192" s="1" t="s">
        <v>189</v>
      </c>
      <c r="B192" s="6">
        <f t="shared" ref="B192:B193" si="181">C192/12.1%</f>
        <v>82201.346775031154</v>
      </c>
      <c r="C192" s="2">
        <v>9946.3629597787694</v>
      </c>
      <c r="D192" s="9">
        <v>8.8728253968253998E-2</v>
      </c>
      <c r="E192" s="2">
        <f t="shared" si="123"/>
        <v>3838.3780164102204</v>
      </c>
      <c r="F192" s="9">
        <v>2.2267911111111122E-2</v>
      </c>
      <c r="G192" s="2">
        <f t="shared" si="124"/>
        <v>-7050.0881283228018</v>
      </c>
      <c r="H192" s="7">
        <f t="shared" si="173"/>
        <v>-1.8367362719829976</v>
      </c>
      <c r="I192" s="9">
        <v>2.2267911111111122E-2</v>
      </c>
      <c r="J192" s="2">
        <v>-551.91916064671398</v>
      </c>
      <c r="K192" s="13">
        <v>6.6912637362637399</v>
      </c>
      <c r="L192" s="9">
        <f t="shared" si="174"/>
        <v>5.7673365079365102E-2</v>
      </c>
      <c r="M192" s="2">
        <f t="shared" si="175"/>
        <v>3838.3780164102204</v>
      </c>
      <c r="N192" s="16">
        <f t="shared" si="125"/>
        <v>6.6912637362637408</v>
      </c>
    </row>
    <row r="193" spans="1:14" ht="17">
      <c r="A193" s="1" t="s">
        <v>190</v>
      </c>
      <c r="B193" s="6">
        <f t="shared" si="181"/>
        <v>179295.52163783883</v>
      </c>
      <c r="C193" s="2">
        <v>21694.758118178499</v>
      </c>
      <c r="D193" s="9">
        <v>8.9645396825396795E-2</v>
      </c>
      <c r="E193" s="2">
        <f t="shared" si="123"/>
        <v>8492.5396535366763</v>
      </c>
      <c r="F193" s="9">
        <v>2.2356711111111108E-2</v>
      </c>
      <c r="G193" s="2">
        <f t="shared" si="124"/>
        <v>-15702.797019365818</v>
      </c>
      <c r="H193" s="7">
        <f t="shared" si="173"/>
        <v>-1.8490107388343446</v>
      </c>
      <c r="I193" s="9">
        <v>2.2356711111111108E-2</v>
      </c>
      <c r="J193" s="2">
        <v>-555.61369109047098</v>
      </c>
      <c r="K193" s="13">
        <v>6.7180219780219801</v>
      </c>
      <c r="L193" s="9">
        <f t="shared" si="174"/>
        <v>5.8269507936507918E-2</v>
      </c>
      <c r="M193" s="2">
        <f t="shared" si="175"/>
        <v>8492.5396535366763</v>
      </c>
      <c r="N193" s="16">
        <f t="shared" si="125"/>
        <v>6.7180219780219801</v>
      </c>
    </row>
    <row r="194" spans="1:14" ht="17">
      <c r="A194" s="1" t="s">
        <v>191</v>
      </c>
      <c r="B194" s="6">
        <f t="shared" ref="B194" si="182">C194/11.09%</f>
        <v>76578.38798352037</v>
      </c>
      <c r="C194" s="2">
        <v>8492.5432273724091</v>
      </c>
      <c r="D194" s="9">
        <v>9.0562539682539703E-2</v>
      </c>
      <c r="E194" s="2">
        <f t="shared" si="123"/>
        <v>3371.8443490682921</v>
      </c>
      <c r="F194" s="9">
        <v>2.2921511111111119E-2</v>
      </c>
      <c r="G194" s="2">
        <f t="shared" si="124"/>
        <v>-6409.0574484007466</v>
      </c>
      <c r="H194" s="7">
        <f t="shared" si="173"/>
        <v>-1.9007572073045711</v>
      </c>
      <c r="I194" s="9">
        <v>2.2921511111111119E-2</v>
      </c>
      <c r="J194" s="2">
        <v>-559.30822153422696</v>
      </c>
      <c r="K194" s="13">
        <v>6.74478021978023</v>
      </c>
      <c r="L194" s="9">
        <f t="shared" si="174"/>
        <v>5.886565079365081E-2</v>
      </c>
      <c r="M194" s="2">
        <f t="shared" si="175"/>
        <v>3371.8443490682921</v>
      </c>
      <c r="N194" s="16">
        <f t="shared" si="125"/>
        <v>6.7447802197802309</v>
      </c>
    </row>
    <row r="195" spans="1:14" ht="17">
      <c r="A195" s="1" t="s">
        <v>192</v>
      </c>
      <c r="B195" s="6">
        <f t="shared" ref="B195" si="183">C195/12.01%</f>
        <v>136498.79520592006</v>
      </c>
      <c r="C195" s="2">
        <v>16393.505304230999</v>
      </c>
      <c r="D195" s="9">
        <v>9.1479682539682597E-2</v>
      </c>
      <c r="E195" s="2">
        <f t="shared" ref="E195:E258" si="184">C195*L195*K195</f>
        <v>6600.8092171435046</v>
      </c>
      <c r="F195" s="9">
        <v>2.2870311111111128E-2</v>
      </c>
      <c r="G195" s="2">
        <f t="shared" ref="G195:G258" si="185">C195*L195*F195*J195</f>
        <v>-12551.407250063336</v>
      </c>
      <c r="H195" s="7">
        <f t="shared" si="173"/>
        <v>-1.9014952314429938</v>
      </c>
      <c r="I195" s="9">
        <v>2.2870311111111128E-2</v>
      </c>
      <c r="J195" s="2">
        <v>-563.00275197798396</v>
      </c>
      <c r="K195" s="13">
        <v>6.7715384615384702</v>
      </c>
      <c r="L195" s="9">
        <f t="shared" si="174"/>
        <v>5.9461793650793689E-2</v>
      </c>
      <c r="M195" s="2">
        <f t="shared" si="175"/>
        <v>6600.8092171435046</v>
      </c>
      <c r="N195" s="16">
        <f t="shared" ref="N195:N258" si="186">J195*I195/H195</f>
        <v>6.7715384615384711</v>
      </c>
    </row>
    <row r="196" spans="1:14" ht="17">
      <c r="A196" s="1" t="s">
        <v>193</v>
      </c>
      <c r="B196" s="6">
        <f t="shared" ref="B196" si="187">C196/10.26%</f>
        <v>136199.86101672903</v>
      </c>
      <c r="C196" s="2">
        <v>13974.1057403164</v>
      </c>
      <c r="D196" s="9">
        <v>9.2396825396825394E-2</v>
      </c>
      <c r="E196" s="2">
        <f t="shared" si="184"/>
        <v>5705.5109941864803</v>
      </c>
      <c r="F196" s="9">
        <v>2.3743111111111114E-2</v>
      </c>
      <c r="G196" s="2">
        <f t="shared" si="185"/>
        <v>-11292.320258221729</v>
      </c>
      <c r="H196" s="7">
        <f t="shared" si="173"/>
        <v>-1.9791952499483079</v>
      </c>
      <c r="I196" s="9">
        <v>2.3743111111111114E-2</v>
      </c>
      <c r="J196" s="2">
        <v>-566.69728242174006</v>
      </c>
      <c r="K196" s="13">
        <v>6.7982967032967103</v>
      </c>
      <c r="L196" s="9">
        <f t="shared" si="174"/>
        <v>6.0057936507936505E-2</v>
      </c>
      <c r="M196" s="2">
        <f t="shared" si="175"/>
        <v>5705.5109941864803</v>
      </c>
      <c r="N196" s="16">
        <f t="shared" si="186"/>
        <v>6.7982967032967103</v>
      </c>
    </row>
    <row r="197" spans="1:14" ht="17">
      <c r="A197" s="1" t="s">
        <v>194</v>
      </c>
      <c r="B197" s="6">
        <f t="shared" ref="B197" si="188">C197/11.36%</f>
        <v>137314.54752286355</v>
      </c>
      <c r="C197" s="2">
        <v>15598.932598597299</v>
      </c>
      <c r="D197" s="9">
        <v>9.3313968253968302E-2</v>
      </c>
      <c r="E197" s="2">
        <f t="shared" si="184"/>
        <v>6457.449949801513</v>
      </c>
      <c r="F197" s="9">
        <v>2.2991911111111128E-2</v>
      </c>
      <c r="G197" s="2">
        <f t="shared" si="185"/>
        <v>-12408.041910857448</v>
      </c>
      <c r="H197" s="7">
        <f t="shared" si="173"/>
        <v>-1.9215080267465088</v>
      </c>
      <c r="I197" s="9">
        <v>2.2991911111111128E-2</v>
      </c>
      <c r="J197" s="2">
        <v>-570.39181286549695</v>
      </c>
      <c r="K197" s="13">
        <v>6.8250549450549496</v>
      </c>
      <c r="L197" s="9">
        <f t="shared" si="174"/>
        <v>6.0654079365079397E-2</v>
      </c>
      <c r="M197" s="2">
        <f t="shared" si="175"/>
        <v>6457.449949801513</v>
      </c>
      <c r="N197" s="16">
        <f t="shared" si="186"/>
        <v>6.8250549450549496</v>
      </c>
    </row>
    <row r="198" spans="1:14" ht="17">
      <c r="A198" s="1" t="s">
        <v>195</v>
      </c>
      <c r="B198" s="6">
        <f t="shared" ref="B198" si="189">C198/9.31%</f>
        <v>111490.48794814287</v>
      </c>
      <c r="C198" s="2">
        <v>10379.764427972101</v>
      </c>
      <c r="D198" s="9">
        <v>9.4231111111111196E-2</v>
      </c>
      <c r="E198" s="2">
        <f t="shared" si="184"/>
        <v>4356.128469985515</v>
      </c>
      <c r="F198" s="9">
        <v>2.333271111111114E-2</v>
      </c>
      <c r="G198" s="2">
        <f t="shared" si="185"/>
        <v>-8516.037900289115</v>
      </c>
      <c r="H198" s="7">
        <f t="shared" si="173"/>
        <v>-1.9549556352541257</v>
      </c>
      <c r="I198" s="9">
        <v>2.333271111111114E-2</v>
      </c>
      <c r="J198" s="2">
        <v>-574.08634330925304</v>
      </c>
      <c r="K198" s="13">
        <v>6.8518131868131897</v>
      </c>
      <c r="L198" s="9">
        <f t="shared" si="174"/>
        <v>6.1250222222222282E-2</v>
      </c>
      <c r="M198" s="2">
        <f t="shared" si="175"/>
        <v>4356.128469985515</v>
      </c>
      <c r="N198" s="16">
        <f t="shared" si="186"/>
        <v>6.8518131868131888</v>
      </c>
    </row>
    <row r="199" spans="1:14" ht="17">
      <c r="A199" s="1" t="s">
        <v>196</v>
      </c>
      <c r="B199" s="6">
        <f t="shared" ref="B199:B200" si="190">C199/12.1%</f>
        <v>32412.172561511903</v>
      </c>
      <c r="C199" s="2">
        <v>3921.87287994294</v>
      </c>
      <c r="D199" s="9">
        <v>9.5148253968254007E-2</v>
      </c>
      <c r="E199" s="2">
        <f t="shared" si="184"/>
        <v>1668.4221385463102</v>
      </c>
      <c r="F199" s="9">
        <v>2.3673511111111122E-2</v>
      </c>
      <c r="G199" s="2">
        <f t="shared" si="185"/>
        <v>-3317.6726182059579</v>
      </c>
      <c r="H199" s="7">
        <f t="shared" si="173"/>
        <v>-1.9885091078308474</v>
      </c>
      <c r="I199" s="9">
        <v>2.3673511111111122E-2</v>
      </c>
      <c r="J199" s="2">
        <v>-577.78087375300902</v>
      </c>
      <c r="K199" s="13">
        <v>6.8785714285714397</v>
      </c>
      <c r="L199" s="9">
        <f t="shared" si="174"/>
        <v>6.1846365079365105E-2</v>
      </c>
      <c r="M199" s="2">
        <f t="shared" si="175"/>
        <v>1668.4221385463102</v>
      </c>
      <c r="N199" s="16">
        <f t="shared" si="186"/>
        <v>6.8785714285714397</v>
      </c>
    </row>
    <row r="200" spans="1:14" ht="17">
      <c r="A200" s="1" t="s">
        <v>197</v>
      </c>
      <c r="B200" s="6">
        <f t="shared" si="190"/>
        <v>114300.89445283306</v>
      </c>
      <c r="C200" s="2">
        <v>13830.408228792799</v>
      </c>
      <c r="D200" s="9">
        <v>9.6065396825396901E-2</v>
      </c>
      <c r="E200" s="2">
        <f t="shared" si="184"/>
        <v>5963.479823528467</v>
      </c>
      <c r="F200" s="9">
        <v>2.6058311111111135E-2</v>
      </c>
      <c r="G200" s="2">
        <f t="shared" si="185"/>
        <v>-13085.579221523731</v>
      </c>
      <c r="H200" s="7">
        <f t="shared" si="173"/>
        <v>-2.1942858211568939</v>
      </c>
      <c r="I200" s="9">
        <v>2.6058311111111135E-2</v>
      </c>
      <c r="J200" s="2">
        <v>-581.47540419676602</v>
      </c>
      <c r="K200" s="13">
        <v>6.9053296703296798</v>
      </c>
      <c r="L200" s="9">
        <f t="shared" si="174"/>
        <v>6.244250793650799E-2</v>
      </c>
      <c r="M200" s="2">
        <f t="shared" si="175"/>
        <v>5963.479823528467</v>
      </c>
      <c r="N200" s="16">
        <f t="shared" si="186"/>
        <v>6.9053296703296807</v>
      </c>
    </row>
    <row r="201" spans="1:14" ht="17">
      <c r="A201" s="1" t="s">
        <v>198</v>
      </c>
      <c r="B201" s="6">
        <f t="shared" ref="B201" si="191">C201/11.09%</f>
        <v>26835.170905449595</v>
      </c>
      <c r="C201" s="2">
        <v>2976.02045341436</v>
      </c>
      <c r="D201" s="9">
        <v>6.8777142857142898E-2</v>
      </c>
      <c r="E201" s="2">
        <f t="shared" si="184"/>
        <v>922.26868020740505</v>
      </c>
      <c r="F201" s="9">
        <v>1.6681600000000012E-2</v>
      </c>
      <c r="G201" s="2">
        <f t="shared" si="185"/>
        <v>-1298.7127566415136</v>
      </c>
      <c r="H201" s="7">
        <f t="shared" si="173"/>
        <v>-1.4081718099214338</v>
      </c>
      <c r="I201" s="9">
        <v>1.6681600000000012E-2</v>
      </c>
      <c r="J201" s="2">
        <v>-585.169934640522</v>
      </c>
      <c r="K201" s="13">
        <v>6.93208791208792</v>
      </c>
      <c r="L201" s="9">
        <f t="shared" si="174"/>
        <v>4.4705142857142888E-2</v>
      </c>
      <c r="M201" s="2">
        <f t="shared" si="175"/>
        <v>922.26868020740505</v>
      </c>
      <c r="N201" s="16">
        <f t="shared" si="186"/>
        <v>6.93208791208792</v>
      </c>
    </row>
    <row r="202" spans="1:14" ht="17">
      <c r="A202" s="1" t="s">
        <v>199</v>
      </c>
      <c r="B202" s="6">
        <f t="shared" ref="B202" si="192">C202/12.01%</f>
        <v>29081.655373326146</v>
      </c>
      <c r="C202" s="2">
        <v>3492.70681033647</v>
      </c>
      <c r="D202" s="9">
        <v>6.9602857142857105E-2</v>
      </c>
      <c r="E202" s="2">
        <f t="shared" si="184"/>
        <v>1099.6128094038118</v>
      </c>
      <c r="F202" s="9">
        <v>1.674479999999999E-2</v>
      </c>
      <c r="G202" s="2">
        <f t="shared" si="185"/>
        <v>-1558.1091123043216</v>
      </c>
      <c r="H202" s="7">
        <f t="shared" si="173"/>
        <v>-1.4169615877329562</v>
      </c>
      <c r="I202" s="9">
        <v>1.674479999999999E-2</v>
      </c>
      <c r="J202" s="2">
        <v>-588.864465084279</v>
      </c>
      <c r="K202" s="13">
        <v>6.9588461538461601</v>
      </c>
      <c r="L202" s="9">
        <f t="shared" si="174"/>
        <v>4.5241857142857118E-2</v>
      </c>
      <c r="M202" s="2">
        <f t="shared" si="175"/>
        <v>1099.6128094038118</v>
      </c>
      <c r="N202" s="16">
        <f t="shared" si="186"/>
        <v>6.9588461538461592</v>
      </c>
    </row>
    <row r="203" spans="1:14" ht="17">
      <c r="A203" s="1" t="s">
        <v>200</v>
      </c>
      <c r="B203" s="6">
        <f t="shared" ref="B203" si="193">C203/10.26%</f>
        <v>180110.65238790837</v>
      </c>
      <c r="C203" s="2">
        <v>18479.352934999399</v>
      </c>
      <c r="D203" s="9">
        <v>7.0428571428571396E-2</v>
      </c>
      <c r="E203" s="2">
        <f t="shared" si="184"/>
        <v>5909.5305658715679</v>
      </c>
      <c r="F203" s="9">
        <v>2.3718311111111123E-2</v>
      </c>
      <c r="G203" s="2">
        <f t="shared" si="185"/>
        <v>-11889.520849763532</v>
      </c>
      <c r="H203" s="7">
        <f t="shared" si="173"/>
        <v>-2.0119230651631304</v>
      </c>
      <c r="I203" s="9">
        <v>2.3718311111111123E-2</v>
      </c>
      <c r="J203" s="2">
        <v>-592.55899552803498</v>
      </c>
      <c r="K203" s="13">
        <v>6.9856043956044003</v>
      </c>
      <c r="L203" s="9">
        <f t="shared" si="174"/>
        <v>4.5778571428571412E-2</v>
      </c>
      <c r="M203" s="2">
        <f t="shared" si="175"/>
        <v>5909.5305658715679</v>
      </c>
      <c r="N203" s="16">
        <f t="shared" si="186"/>
        <v>6.9856043956043985</v>
      </c>
    </row>
    <row r="204" spans="1:14" ht="17">
      <c r="A204" s="1" t="s">
        <v>201</v>
      </c>
      <c r="B204" s="6">
        <f t="shared" ref="B204" si="194">C204/11.36%</f>
        <v>67151.827206573333</v>
      </c>
      <c r="C204" s="2">
        <v>7628.4475706667299</v>
      </c>
      <c r="D204" s="9">
        <v>7.9799999999999996E-2</v>
      </c>
      <c r="E204" s="2">
        <f t="shared" si="184"/>
        <v>2774.7047704380739</v>
      </c>
      <c r="F204" s="9">
        <v>1.9600000000000003E-2</v>
      </c>
      <c r="G204" s="2">
        <f t="shared" si="185"/>
        <v>-4624.230196560834</v>
      </c>
      <c r="H204" s="7">
        <f t="shared" si="173"/>
        <v>-1.6665665644243495</v>
      </c>
      <c r="I204" s="9">
        <v>1.9600000000000003E-2</v>
      </c>
      <c r="J204" s="2">
        <v>-596.25352597179199</v>
      </c>
      <c r="K204" s="13">
        <v>7.0123626373626404</v>
      </c>
      <c r="L204" s="9">
        <f t="shared" si="174"/>
        <v>5.1869999999999999E-2</v>
      </c>
      <c r="M204" s="2">
        <f t="shared" si="175"/>
        <v>2774.7047704380739</v>
      </c>
      <c r="N204" s="16">
        <f t="shared" si="186"/>
        <v>7.0123626373626387</v>
      </c>
    </row>
    <row r="205" spans="1:14" ht="17">
      <c r="A205" s="1" t="s">
        <v>202</v>
      </c>
      <c r="B205" s="6">
        <f t="shared" ref="B205" si="195">C205/9.31%</f>
        <v>178220.24154763803</v>
      </c>
      <c r="C205" s="2">
        <v>16592.304488085101</v>
      </c>
      <c r="D205" s="9">
        <v>6.8699999999999997E-2</v>
      </c>
      <c r="E205" s="2">
        <f t="shared" si="184"/>
        <v>5215.491306217089</v>
      </c>
      <c r="F205" s="9">
        <v>1.7108000000000002E-2</v>
      </c>
      <c r="G205" s="2">
        <f t="shared" si="185"/>
        <v>-7604.833235368129</v>
      </c>
      <c r="H205" s="7">
        <f t="shared" si="173"/>
        <v>-1.4581240364264134</v>
      </c>
      <c r="I205" s="9">
        <v>1.7108000000000002E-2</v>
      </c>
      <c r="J205" s="2">
        <v>-599.94805641554797</v>
      </c>
      <c r="K205" s="13">
        <v>7.0391208791208904</v>
      </c>
      <c r="L205" s="9">
        <f t="shared" si="174"/>
        <v>4.4655E-2</v>
      </c>
      <c r="M205" s="2">
        <f t="shared" si="175"/>
        <v>5215.491306217089</v>
      </c>
      <c r="N205" s="16">
        <f t="shared" si="186"/>
        <v>7.0391208791208904</v>
      </c>
    </row>
    <row r="206" spans="1:14" ht="17">
      <c r="A206" s="1" t="s">
        <v>203</v>
      </c>
      <c r="B206" s="6">
        <f t="shared" ref="B206:B207" si="196">C206/12.1%</f>
        <v>105700.49141296612</v>
      </c>
      <c r="C206" s="2">
        <v>12789.7594609689</v>
      </c>
      <c r="D206" s="9">
        <v>5.9900000000000002E-2</v>
      </c>
      <c r="E206" s="2">
        <f t="shared" si="184"/>
        <v>3518.5907709848711</v>
      </c>
      <c r="F206" s="9">
        <v>1.3636000000000001E-2</v>
      </c>
      <c r="G206" s="2">
        <f t="shared" si="185"/>
        <v>-4098.9197899232586</v>
      </c>
      <c r="H206" s="7">
        <f t="shared" si="173"/>
        <v>-1.1649322290400796</v>
      </c>
      <c r="I206" s="9">
        <v>1.3636000000000001E-2</v>
      </c>
      <c r="J206" s="2">
        <v>-603.64258685930497</v>
      </c>
      <c r="K206" s="13">
        <v>7.0658791208791296</v>
      </c>
      <c r="L206" s="9">
        <f t="shared" si="174"/>
        <v>3.8935000000000004E-2</v>
      </c>
      <c r="M206" s="2">
        <f t="shared" si="175"/>
        <v>3518.5907709848711</v>
      </c>
      <c r="N206" s="16">
        <f t="shared" si="186"/>
        <v>7.0658791208791287</v>
      </c>
    </row>
    <row r="207" spans="1:14" ht="17">
      <c r="A207" s="1" t="s">
        <v>204</v>
      </c>
      <c r="B207" s="6">
        <f t="shared" si="196"/>
        <v>125423.6285301124</v>
      </c>
      <c r="C207" s="2">
        <v>15176.2590521436</v>
      </c>
      <c r="D207" s="9">
        <v>8.1100000000000005E-2</v>
      </c>
      <c r="E207" s="2">
        <f t="shared" si="184"/>
        <v>5674.2268897859421</v>
      </c>
      <c r="F207" s="9">
        <v>1.9656E-2</v>
      </c>
      <c r="G207" s="2">
        <f t="shared" si="185"/>
        <v>-9550.4516276282502</v>
      </c>
      <c r="H207" s="7">
        <f t="shared" si="173"/>
        <v>-1.6831282592558678</v>
      </c>
      <c r="I207" s="9">
        <v>1.9656E-2</v>
      </c>
      <c r="J207" s="2">
        <v>-607.33711730306095</v>
      </c>
      <c r="K207" s="13">
        <v>7.0926373626373698</v>
      </c>
      <c r="L207" s="9">
        <f t="shared" si="174"/>
        <v>5.2715000000000005E-2</v>
      </c>
      <c r="M207" s="2">
        <f t="shared" si="175"/>
        <v>5674.2268897859421</v>
      </c>
      <c r="N207" s="16">
        <f t="shared" si="186"/>
        <v>7.0926373626373698</v>
      </c>
    </row>
    <row r="208" spans="1:14" ht="17">
      <c r="A208" s="1" t="s">
        <v>205</v>
      </c>
      <c r="B208" s="6">
        <f t="shared" ref="B208" si="197">C208/11.09%</f>
        <v>72267.293685092154</v>
      </c>
      <c r="C208" s="2">
        <v>8014.44286967672</v>
      </c>
      <c r="D208" s="9">
        <v>5.4399999999999997E-2</v>
      </c>
      <c r="E208" s="2">
        <f t="shared" si="184"/>
        <v>2017.5705029936667</v>
      </c>
      <c r="F208" s="9">
        <v>1.2264000000000001E-2</v>
      </c>
      <c r="G208" s="2">
        <f t="shared" si="185"/>
        <v>-2123.642656768126</v>
      </c>
      <c r="H208" s="7">
        <f t="shared" si="173"/>
        <v>-1.0525741993239244</v>
      </c>
      <c r="I208" s="9">
        <v>1.2264000000000001E-2</v>
      </c>
      <c r="J208" s="2">
        <v>-611.03164774681795</v>
      </c>
      <c r="K208" s="13">
        <v>7.1193956043956099</v>
      </c>
      <c r="L208" s="9">
        <f t="shared" si="174"/>
        <v>3.5360000000000003E-2</v>
      </c>
      <c r="M208" s="2">
        <f t="shared" si="175"/>
        <v>2017.5705029936667</v>
      </c>
      <c r="N208" s="16">
        <f t="shared" si="186"/>
        <v>7.1193956043956099</v>
      </c>
    </row>
    <row r="209" spans="1:14" ht="17">
      <c r="A209" s="1" t="s">
        <v>205</v>
      </c>
      <c r="B209" s="6">
        <f t="shared" ref="B209" si="198">C209/12.01%</f>
        <v>62434.897995435473</v>
      </c>
      <c r="C209" s="2">
        <v>7498.4312492518002</v>
      </c>
      <c r="D209" s="9">
        <v>8.0860000000000001E-2</v>
      </c>
      <c r="E209" s="2">
        <f t="shared" si="184"/>
        <v>2816.3710355333569</v>
      </c>
      <c r="F209" s="9">
        <v>2.1800800000000002E-2</v>
      </c>
      <c r="G209" s="2">
        <f t="shared" si="185"/>
        <v>-5281.6746625444721</v>
      </c>
      <c r="H209" s="7">
        <f t="shared" si="173"/>
        <v>-1.8753476001233773</v>
      </c>
      <c r="I209" s="9">
        <v>2.1800800000000002E-2</v>
      </c>
      <c r="J209" s="2">
        <v>-614.72617819057405</v>
      </c>
      <c r="K209" s="13">
        <v>7.1461538461538501</v>
      </c>
      <c r="L209" s="9">
        <f t="shared" si="174"/>
        <v>5.2559000000000002E-2</v>
      </c>
      <c r="M209" s="2">
        <f t="shared" si="175"/>
        <v>2816.3710355333569</v>
      </c>
      <c r="N209" s="16">
        <f t="shared" si="186"/>
        <v>7.1461538461538519</v>
      </c>
    </row>
    <row r="210" spans="1:14" ht="17">
      <c r="A210" s="1" t="s">
        <v>206</v>
      </c>
      <c r="B210" s="6">
        <f t="shared" ref="B210" si="199">C210/10.26%</f>
        <v>237492.32394320174</v>
      </c>
      <c r="C210" s="2">
        <v>24366.712436572499</v>
      </c>
      <c r="D210" s="9">
        <v>7.0277142857142899E-2</v>
      </c>
      <c r="E210" s="2">
        <f t="shared" si="184"/>
        <v>7983.9884412676092</v>
      </c>
      <c r="F210" s="9">
        <v>1.7101600000000012E-2</v>
      </c>
      <c r="G210" s="2">
        <f t="shared" si="185"/>
        <v>-11771.861931240943</v>
      </c>
      <c r="H210" s="7">
        <f t="shared" si="173"/>
        <v>-1.4744337392066587</v>
      </c>
      <c r="I210" s="9">
        <v>1.7101600000000012E-2</v>
      </c>
      <c r="J210" s="2">
        <v>-618.42070863433003</v>
      </c>
      <c r="K210" s="13">
        <v>7.1729120879120902</v>
      </c>
      <c r="L210" s="9">
        <f t="shared" si="174"/>
        <v>4.5680142857142884E-2</v>
      </c>
      <c r="M210" s="2">
        <f t="shared" si="175"/>
        <v>7983.9884412676092</v>
      </c>
      <c r="N210" s="16">
        <f t="shared" si="186"/>
        <v>7.1729120879120911</v>
      </c>
    </row>
    <row r="211" spans="1:14" ht="17">
      <c r="A211" s="1" t="s">
        <v>207</v>
      </c>
      <c r="B211" s="6">
        <f t="shared" ref="B211" si="200">C211/11.36%</f>
        <v>114175.40162278345</v>
      </c>
      <c r="C211" s="2">
        <v>12970.325624348199</v>
      </c>
      <c r="D211" s="9">
        <v>8.9694285714285699E-2</v>
      </c>
      <c r="E211" s="2">
        <f t="shared" si="184"/>
        <v>5444.2946599281104</v>
      </c>
      <c r="F211" s="9">
        <v>2.2370399999999995E-2</v>
      </c>
      <c r="G211" s="2">
        <f t="shared" si="185"/>
        <v>-10523.824600133988</v>
      </c>
      <c r="H211" s="7">
        <f t="shared" si="173"/>
        <v>-1.9330005551670399</v>
      </c>
      <c r="I211" s="9">
        <v>2.2370399999999995E-2</v>
      </c>
      <c r="J211" s="2">
        <v>-622.11523907808703</v>
      </c>
      <c r="K211" s="13">
        <v>7.1996703296703402</v>
      </c>
      <c r="L211" s="9">
        <f t="shared" si="174"/>
        <v>5.8301285714285708E-2</v>
      </c>
      <c r="M211" s="2">
        <f t="shared" si="175"/>
        <v>5444.2946599281104</v>
      </c>
      <c r="N211" s="16">
        <f t="shared" si="186"/>
        <v>7.199670329670341</v>
      </c>
    </row>
    <row r="212" spans="1:14" ht="17">
      <c r="A212" s="1" t="s">
        <v>208</v>
      </c>
      <c r="B212" s="6">
        <f t="shared" ref="B212" si="201">C212/9.31%</f>
        <v>254900.09841077554</v>
      </c>
      <c r="C212" s="2">
        <v>23731.199162043202</v>
      </c>
      <c r="D212" s="9">
        <v>7.7722539682539699E-2</v>
      </c>
      <c r="E212" s="2">
        <f t="shared" si="184"/>
        <v>8663.7066410542884</v>
      </c>
      <c r="F212" s="9">
        <v>1.9326311111111119E-2</v>
      </c>
      <c r="G212" s="2">
        <f t="shared" si="185"/>
        <v>-14500.111077095453</v>
      </c>
      <c r="H212" s="7">
        <f t="shared" si="173"/>
        <v>-1.673661364338501</v>
      </c>
      <c r="I212" s="9">
        <v>1.9326311111111119E-2</v>
      </c>
      <c r="J212" s="2">
        <v>-625.80976952184301</v>
      </c>
      <c r="K212" s="13">
        <v>7.2264285714285803</v>
      </c>
      <c r="L212" s="9">
        <f t="shared" si="174"/>
        <v>5.0519650793650804E-2</v>
      </c>
      <c r="M212" s="2">
        <f t="shared" si="175"/>
        <v>8663.7066410542884</v>
      </c>
      <c r="N212" s="16">
        <f t="shared" si="186"/>
        <v>7.2264285714285803</v>
      </c>
    </row>
    <row r="213" spans="1:14" ht="17">
      <c r="A213" s="1" t="s">
        <v>209</v>
      </c>
      <c r="B213" s="6">
        <f t="shared" ref="B213:B214" si="202">C213/12.1%</f>
        <v>80545.951551947277</v>
      </c>
      <c r="C213" s="2">
        <v>9746.0601377856201</v>
      </c>
      <c r="D213" s="9">
        <v>7.8639682539682607E-2</v>
      </c>
      <c r="E213" s="2">
        <f t="shared" si="184"/>
        <v>3613.3751910483379</v>
      </c>
      <c r="F213" s="9">
        <v>1.9275111111111104E-2</v>
      </c>
      <c r="G213" s="2">
        <f t="shared" si="185"/>
        <v>-6044.7700762377672</v>
      </c>
      <c r="H213" s="7">
        <f t="shared" si="173"/>
        <v>-1.6728874685399098</v>
      </c>
      <c r="I213" s="9">
        <v>1.9275111111111104E-2</v>
      </c>
      <c r="J213" s="2">
        <v>-629.50429996560001</v>
      </c>
      <c r="K213" s="13">
        <v>7.2531868131868196</v>
      </c>
      <c r="L213" s="9">
        <f t="shared" si="174"/>
        <v>5.1115793650793696E-2</v>
      </c>
      <c r="M213" s="2">
        <f t="shared" si="175"/>
        <v>3613.3751910483379</v>
      </c>
      <c r="N213" s="16">
        <f t="shared" si="186"/>
        <v>7.2531868131868196</v>
      </c>
    </row>
    <row r="214" spans="1:14" ht="17">
      <c r="A214" s="1" t="s">
        <v>210</v>
      </c>
      <c r="B214" s="6">
        <f t="shared" si="202"/>
        <v>138842.70356809915</v>
      </c>
      <c r="C214" s="2">
        <v>16799.967131739999</v>
      </c>
      <c r="D214" s="9">
        <v>7.9556825396825404E-2</v>
      </c>
      <c r="E214" s="2">
        <f t="shared" si="184"/>
        <v>6324.5165749844173</v>
      </c>
      <c r="F214" s="9">
        <v>2.0147911111111111E-2</v>
      </c>
      <c r="G214" s="2">
        <f t="shared" si="185"/>
        <v>-11083.307017458026</v>
      </c>
      <c r="H214" s="7">
        <f t="shared" si="173"/>
        <v>-1.7524354448364037</v>
      </c>
      <c r="I214" s="9">
        <v>2.0147911111111111E-2</v>
      </c>
      <c r="J214" s="2">
        <v>-633.19883040935599</v>
      </c>
      <c r="K214" s="13">
        <v>7.2799450549450597</v>
      </c>
      <c r="L214" s="9">
        <f t="shared" si="174"/>
        <v>5.1711936507936512E-2</v>
      </c>
      <c r="M214" s="2">
        <f t="shared" si="175"/>
        <v>6324.5165749844173</v>
      </c>
      <c r="N214" s="16">
        <f t="shared" si="186"/>
        <v>7.2799450549450597</v>
      </c>
    </row>
    <row r="215" spans="1:14" ht="17">
      <c r="A215" s="1" t="s">
        <v>211</v>
      </c>
      <c r="B215" s="6">
        <f t="shared" ref="B215" si="203">C215/11.09%</f>
        <v>94775.777546341749</v>
      </c>
      <c r="C215" s="2">
        <v>10510.6337298893</v>
      </c>
      <c r="D215" s="9">
        <v>8.0473968253968298E-2</v>
      </c>
      <c r="E215" s="2">
        <f t="shared" si="184"/>
        <v>4017.1601748606677</v>
      </c>
      <c r="F215" s="9">
        <v>1.9396711111111124E-2</v>
      </c>
      <c r="G215" s="2">
        <f t="shared" si="185"/>
        <v>-6791.9189631806348</v>
      </c>
      <c r="H215" s="7">
        <f t="shared" si="173"/>
        <v>-1.6907264504125001</v>
      </c>
      <c r="I215" s="9">
        <v>1.9396711111111124E-2</v>
      </c>
      <c r="J215" s="2">
        <v>-636.89336085311299</v>
      </c>
      <c r="K215" s="13">
        <v>7.3067032967032999</v>
      </c>
      <c r="L215" s="9">
        <f t="shared" si="174"/>
        <v>5.2308079365079398E-2</v>
      </c>
      <c r="M215" s="2">
        <f t="shared" si="175"/>
        <v>4017.1601748606677</v>
      </c>
      <c r="N215" s="16">
        <f t="shared" si="186"/>
        <v>7.3067032967032999</v>
      </c>
    </row>
    <row r="216" spans="1:14" ht="17">
      <c r="A216" s="1" t="s">
        <v>212</v>
      </c>
      <c r="B216" s="6">
        <f t="shared" ref="B216" si="204">C216/12.01%</f>
        <v>141081.38155398003</v>
      </c>
      <c r="C216" s="2">
        <v>16943.873924633001</v>
      </c>
      <c r="D216" s="9">
        <v>8.1391111111111095E-2</v>
      </c>
      <c r="E216" s="2">
        <f t="shared" si="184"/>
        <v>6573.7330470971856</v>
      </c>
      <c r="F216" s="9">
        <v>1.9737511111111109E-2</v>
      </c>
      <c r="G216" s="2">
        <f t="shared" si="185"/>
        <v>-11333.763809261627</v>
      </c>
      <c r="H216" s="7">
        <f t="shared" si="173"/>
        <v>-1.7240985796139632</v>
      </c>
      <c r="I216" s="9">
        <v>1.9737511111111109E-2</v>
      </c>
      <c r="J216" s="2">
        <v>-640.58789129686897</v>
      </c>
      <c r="K216" s="13">
        <v>7.3334615384615498</v>
      </c>
      <c r="L216" s="9">
        <f t="shared" si="174"/>
        <v>5.2904222222222214E-2</v>
      </c>
      <c r="M216" s="2">
        <f t="shared" si="175"/>
        <v>6573.7330470971856</v>
      </c>
      <c r="N216" s="16">
        <f t="shared" si="186"/>
        <v>7.3334615384615498</v>
      </c>
    </row>
    <row r="217" spans="1:14" ht="17">
      <c r="A217" s="1" t="s">
        <v>213</v>
      </c>
      <c r="B217" s="6">
        <f t="shared" ref="B217" si="205">C217/10.26%</f>
        <v>85614.330905947369</v>
      </c>
      <c r="C217" s="2">
        <v>8784.0303509501991</v>
      </c>
      <c r="D217" s="9">
        <v>8.3500000000000005E-2</v>
      </c>
      <c r="E217" s="2">
        <f t="shared" si="184"/>
        <v>3509.0086810454472</v>
      </c>
      <c r="F217" s="9">
        <v>2.0412000000000003E-2</v>
      </c>
      <c r="G217" s="2">
        <f t="shared" si="185"/>
        <v>-6269.8261943725684</v>
      </c>
      <c r="H217" s="7">
        <f t="shared" si="173"/>
        <v>-1.7867799040339176</v>
      </c>
      <c r="I217" s="9">
        <v>2.0412000000000003E-2</v>
      </c>
      <c r="J217" s="2">
        <v>-644.28242174062598</v>
      </c>
      <c r="K217" s="13">
        <v>7.36021978021979</v>
      </c>
      <c r="L217" s="9">
        <f t="shared" si="174"/>
        <v>5.4275000000000004E-2</v>
      </c>
      <c r="M217" s="2">
        <f t="shared" si="175"/>
        <v>3509.0086810454472</v>
      </c>
      <c r="N217" s="16">
        <f t="shared" si="186"/>
        <v>7.3602197802197908</v>
      </c>
    </row>
    <row r="218" spans="1:14" ht="17">
      <c r="A218" s="1" t="s">
        <v>214</v>
      </c>
      <c r="B218" s="6">
        <f t="shared" ref="B218" si="206">C218/11.36%</f>
        <v>108398.07529841991</v>
      </c>
      <c r="C218" s="2">
        <v>12314.0213539005</v>
      </c>
      <c r="D218" s="9">
        <v>8.9800000000000005E-2</v>
      </c>
      <c r="E218" s="2">
        <f t="shared" si="184"/>
        <v>5309.5339558872756</v>
      </c>
      <c r="F218" s="9">
        <v>2.4304000000000003E-2</v>
      </c>
      <c r="G218" s="2">
        <f t="shared" si="185"/>
        <v>-11319.491324997209</v>
      </c>
      <c r="H218" s="7">
        <f t="shared" si="173"/>
        <v>-2.1319180589185271</v>
      </c>
      <c r="I218" s="9">
        <v>2.4304000000000003E-2</v>
      </c>
      <c r="J218" s="2">
        <v>-647.97695218438196</v>
      </c>
      <c r="K218" s="13">
        <v>7.3869780219780301</v>
      </c>
      <c r="L218" s="9">
        <f t="shared" si="174"/>
        <v>5.8370000000000005E-2</v>
      </c>
      <c r="M218" s="2">
        <f t="shared" si="175"/>
        <v>5309.5339558872756</v>
      </c>
      <c r="N218" s="16">
        <f t="shared" si="186"/>
        <v>7.3869780219780283</v>
      </c>
    </row>
    <row r="219" spans="1:14" ht="17">
      <c r="A219" s="1" t="s">
        <v>215</v>
      </c>
      <c r="B219" s="6">
        <f t="shared" ref="B219" si="207">C219/9.31%</f>
        <v>219103.7567975639</v>
      </c>
      <c r="C219" s="2">
        <v>20398.5597578532</v>
      </c>
      <c r="D219" s="9">
        <v>8.8700000000000001E-2</v>
      </c>
      <c r="E219" s="2">
        <f t="shared" si="184"/>
        <v>8719.1392558170319</v>
      </c>
      <c r="F219" s="9">
        <v>2.3718311111111123E-2</v>
      </c>
      <c r="G219" s="2">
        <f t="shared" si="185"/>
        <v>-18178.119726272827</v>
      </c>
      <c r="H219" s="7">
        <f t="shared" si="173"/>
        <v>-2.0848525517177827</v>
      </c>
      <c r="I219" s="9">
        <v>2.3718311111111123E-2</v>
      </c>
      <c r="J219" s="2">
        <v>-651.67148262813805</v>
      </c>
      <c r="K219" s="13">
        <v>7.4137362637362703</v>
      </c>
      <c r="L219" s="9">
        <f t="shared" si="174"/>
        <v>5.7655000000000005E-2</v>
      </c>
      <c r="M219" s="2">
        <f t="shared" si="175"/>
        <v>8719.1392558170319</v>
      </c>
      <c r="N219" s="16">
        <f t="shared" si="186"/>
        <v>7.4137362637362711</v>
      </c>
    </row>
    <row r="220" spans="1:14" ht="17">
      <c r="A220" s="1" t="s">
        <v>216</v>
      </c>
      <c r="B220" s="6">
        <f t="shared" ref="B220:B221" si="208">C220/12.1%</f>
        <v>87936.715234703312</v>
      </c>
      <c r="C220" s="2">
        <v>10640.3425433991</v>
      </c>
      <c r="D220" s="9">
        <v>5.9900000000000002E-2</v>
      </c>
      <c r="E220" s="2">
        <f t="shared" si="184"/>
        <v>3082.4609873338809</v>
      </c>
      <c r="F220" s="9">
        <v>1.4028000000000001E-2</v>
      </c>
      <c r="G220" s="2">
        <f t="shared" si="185"/>
        <v>-3808.6885558252243</v>
      </c>
      <c r="H220" s="7">
        <f t="shared" si="173"/>
        <v>-1.2355999220997378</v>
      </c>
      <c r="I220" s="9">
        <v>1.4028000000000001E-2</v>
      </c>
      <c r="J220" s="2">
        <v>-655.36601307189505</v>
      </c>
      <c r="K220" s="13">
        <v>7.4404945054945104</v>
      </c>
      <c r="L220" s="9">
        <f t="shared" si="174"/>
        <v>3.8935000000000004E-2</v>
      </c>
      <c r="M220" s="2">
        <f t="shared" si="175"/>
        <v>3082.4609873338809</v>
      </c>
      <c r="N220" s="16">
        <f t="shared" si="186"/>
        <v>7.4404945054945113</v>
      </c>
    </row>
    <row r="221" spans="1:14" ht="17">
      <c r="A221" s="1" t="s">
        <v>217</v>
      </c>
      <c r="B221" s="6">
        <f t="shared" si="208"/>
        <v>167783.72654971157</v>
      </c>
      <c r="C221" s="2">
        <v>20301.830912515099</v>
      </c>
      <c r="D221" s="9">
        <v>8.1100000000000005E-2</v>
      </c>
      <c r="E221" s="2">
        <f t="shared" si="184"/>
        <v>7991.5361534972908</v>
      </c>
      <c r="F221" s="9">
        <v>2.0272000000000005E-2</v>
      </c>
      <c r="G221" s="2">
        <f t="shared" si="185"/>
        <v>-14298.52789327515</v>
      </c>
      <c r="H221" s="7">
        <f t="shared" si="173"/>
        <v>-1.7892089353831886</v>
      </c>
      <c r="I221" s="9">
        <v>2.0272000000000005E-2</v>
      </c>
      <c r="J221" s="2">
        <v>-659.06054351565103</v>
      </c>
      <c r="K221" s="13">
        <v>7.4672527472527497</v>
      </c>
      <c r="L221" s="9">
        <f t="shared" si="174"/>
        <v>5.2715000000000005E-2</v>
      </c>
      <c r="M221" s="2">
        <f t="shared" si="175"/>
        <v>7991.5361534972908</v>
      </c>
      <c r="N221" s="16">
        <f t="shared" si="186"/>
        <v>7.4672527472527497</v>
      </c>
    </row>
    <row r="222" spans="1:14" ht="17">
      <c r="A222" s="1" t="s">
        <v>218</v>
      </c>
      <c r="B222" s="6">
        <f t="shared" ref="B222" si="209">C222/11.09%</f>
        <v>91486.700823840409</v>
      </c>
      <c r="C222" s="2">
        <v>10145.875121363901</v>
      </c>
      <c r="D222" s="9">
        <v>7.4399999999999994E-2</v>
      </c>
      <c r="E222" s="2">
        <f t="shared" si="184"/>
        <v>3676.9703712013988</v>
      </c>
      <c r="F222" s="9">
        <v>1.8088000000000003E-2</v>
      </c>
      <c r="G222" s="2">
        <f t="shared" si="185"/>
        <v>-5881.9240908563352</v>
      </c>
      <c r="H222" s="7">
        <f t="shared" si="173"/>
        <v>-1.5996658925849594</v>
      </c>
      <c r="I222" s="9">
        <v>1.8088000000000003E-2</v>
      </c>
      <c r="J222" s="2">
        <v>-662.75507395940804</v>
      </c>
      <c r="K222" s="13">
        <v>7.4940109890109996</v>
      </c>
      <c r="L222" s="9">
        <f t="shared" si="174"/>
        <v>4.836E-2</v>
      </c>
      <c r="M222" s="2">
        <f t="shared" si="175"/>
        <v>3676.9703712013988</v>
      </c>
      <c r="N222" s="16">
        <f t="shared" si="186"/>
        <v>7.4940109890109996</v>
      </c>
    </row>
    <row r="223" spans="1:14" ht="17">
      <c r="A223" s="1" t="s">
        <v>219</v>
      </c>
      <c r="B223" s="6">
        <f t="shared" ref="B223" si="210">C223/12.01%</f>
        <v>68519.530413245127</v>
      </c>
      <c r="C223" s="2">
        <v>8229.1956026307398</v>
      </c>
      <c r="D223" s="9">
        <v>8.0860000000000001E-2</v>
      </c>
      <c r="E223" s="2">
        <f t="shared" si="184"/>
        <v>3252.8702598018099</v>
      </c>
      <c r="F223" s="9">
        <v>2.0512800000000005E-2</v>
      </c>
      <c r="G223" s="2">
        <f t="shared" si="185"/>
        <v>-5912.8483309689636</v>
      </c>
      <c r="H223" s="7">
        <f t="shared" si="173"/>
        <v>-1.8177326049669194</v>
      </c>
      <c r="I223" s="9">
        <v>2.0512800000000005E-2</v>
      </c>
      <c r="J223" s="2">
        <v>-666.44960440316402</v>
      </c>
      <c r="K223" s="13">
        <v>7.5207692307692398</v>
      </c>
      <c r="L223" s="9">
        <f t="shared" si="174"/>
        <v>5.2559000000000002E-2</v>
      </c>
      <c r="M223" s="2">
        <f t="shared" si="175"/>
        <v>3252.8702598018099</v>
      </c>
      <c r="N223" s="16">
        <f t="shared" si="186"/>
        <v>7.5207692307692406</v>
      </c>
    </row>
    <row r="224" spans="1:14" ht="17">
      <c r="A224" s="1" t="s">
        <v>220</v>
      </c>
      <c r="B224" s="6">
        <f t="shared" ref="B224" si="211">C224/10.26%</f>
        <v>150484.98846957993</v>
      </c>
      <c r="C224" s="2">
        <v>15439.7598169789</v>
      </c>
      <c r="D224" s="9">
        <v>7.0277142857142899E-2</v>
      </c>
      <c r="E224" s="2">
        <f t="shared" si="184"/>
        <v>5323.1989276282902</v>
      </c>
      <c r="F224" s="9">
        <v>1.6541600000000014E-2</v>
      </c>
      <c r="G224" s="2">
        <f t="shared" si="185"/>
        <v>-7818.3251724243592</v>
      </c>
      <c r="H224" s="7">
        <f t="shared" si="173"/>
        <v>-1.4687268461537193</v>
      </c>
      <c r="I224" s="9">
        <v>1.6541600000000014E-2</v>
      </c>
      <c r="J224" s="2">
        <v>-670.14413484692102</v>
      </c>
      <c r="K224" s="13">
        <v>7.5475274725274799</v>
      </c>
      <c r="L224" s="9">
        <f t="shared" si="174"/>
        <v>4.5680142857142884E-2</v>
      </c>
      <c r="M224" s="2">
        <f t="shared" si="175"/>
        <v>5323.1989276282902</v>
      </c>
      <c r="N224" s="16">
        <f t="shared" si="186"/>
        <v>7.5475274725274808</v>
      </c>
    </row>
    <row r="225" spans="1:14" ht="17">
      <c r="A225" s="1" t="s">
        <v>221</v>
      </c>
      <c r="B225" s="6">
        <f t="shared" ref="B225" si="212">C225/11.36%</f>
        <v>117282.39184433452</v>
      </c>
      <c r="C225" s="2">
        <v>13323.2797135164</v>
      </c>
      <c r="D225" s="9">
        <v>8.9694285714285699E-2</v>
      </c>
      <c r="E225" s="2">
        <f t="shared" si="184"/>
        <v>5883.4350228407329</v>
      </c>
      <c r="F225" s="9">
        <v>2.2062399999999999E-2</v>
      </c>
      <c r="G225" s="2">
        <f t="shared" si="185"/>
        <v>-11547.765597245105</v>
      </c>
      <c r="H225" s="7">
        <f t="shared" si="173"/>
        <v>-1.9627590943750119</v>
      </c>
      <c r="I225" s="9">
        <v>2.2062399999999999E-2</v>
      </c>
      <c r="J225" s="2">
        <v>-673.838665290677</v>
      </c>
      <c r="K225" s="13">
        <v>7.5742857142857201</v>
      </c>
      <c r="L225" s="9">
        <f t="shared" si="174"/>
        <v>5.8301285714285708E-2</v>
      </c>
      <c r="M225" s="2">
        <f t="shared" si="175"/>
        <v>5883.4350228407329</v>
      </c>
      <c r="N225" s="16">
        <f t="shared" si="186"/>
        <v>7.5742857142857209</v>
      </c>
    </row>
    <row r="226" spans="1:14" ht="17">
      <c r="A226" s="1" t="s">
        <v>222</v>
      </c>
      <c r="B226" s="6">
        <f t="shared" ref="B226" si="213">C226/9.31%</f>
        <v>183083.3823983942</v>
      </c>
      <c r="C226" s="2">
        <v>17045.062901290501</v>
      </c>
      <c r="D226" s="9">
        <v>7.7722539682539699E-2</v>
      </c>
      <c r="E226" s="2">
        <f t="shared" si="184"/>
        <v>6545.3397156625042</v>
      </c>
      <c r="F226" s="9">
        <v>1.8794311111111118E-2</v>
      </c>
      <c r="G226" s="2">
        <f t="shared" si="185"/>
        <v>-10965.184364789549</v>
      </c>
      <c r="H226" s="7">
        <f t="shared" si="173"/>
        <v>-1.6752658901035633</v>
      </c>
      <c r="I226" s="9">
        <v>1.8794311111111118E-2</v>
      </c>
      <c r="J226" s="2">
        <v>-677.533195734434</v>
      </c>
      <c r="K226" s="13">
        <v>7.6010439560439602</v>
      </c>
      <c r="L226" s="9">
        <f t="shared" si="174"/>
        <v>5.0519650793650804E-2</v>
      </c>
      <c r="M226" s="2">
        <f t="shared" si="175"/>
        <v>6545.3397156625042</v>
      </c>
      <c r="N226" s="16">
        <f t="shared" si="186"/>
        <v>7.6010439560439611</v>
      </c>
    </row>
    <row r="227" spans="1:14" ht="17">
      <c r="A227" s="1" t="s">
        <v>223</v>
      </c>
      <c r="B227" s="6">
        <f t="shared" ref="B227:B228" si="214">C227/12.1%</f>
        <v>139824.39515589338</v>
      </c>
      <c r="C227" s="2">
        <v>16918.751813863099</v>
      </c>
      <c r="D227" s="9">
        <v>7.8639682539682607E-2</v>
      </c>
      <c r="E227" s="2">
        <f t="shared" si="184"/>
        <v>6596.641011304021</v>
      </c>
      <c r="F227" s="9">
        <v>2.1179111111111103E-2</v>
      </c>
      <c r="G227" s="2">
        <f t="shared" si="185"/>
        <v>-12477.382026113357</v>
      </c>
      <c r="H227" s="7">
        <f t="shared" si="173"/>
        <v>-1.8914750711357617</v>
      </c>
      <c r="I227" s="9">
        <v>2.1179111111111103E-2</v>
      </c>
      <c r="J227" s="2">
        <v>-681.22772617818998</v>
      </c>
      <c r="K227" s="13">
        <v>7.6278021978022101</v>
      </c>
      <c r="L227" s="9">
        <f t="shared" si="174"/>
        <v>5.1115793650793696E-2</v>
      </c>
      <c r="M227" s="2">
        <f t="shared" si="175"/>
        <v>6596.641011304021</v>
      </c>
      <c r="N227" s="16">
        <f t="shared" si="186"/>
        <v>7.6278021978022101</v>
      </c>
    </row>
    <row r="228" spans="1:14" ht="17">
      <c r="A228" s="1" t="s">
        <v>224</v>
      </c>
      <c r="B228" s="6">
        <f t="shared" si="214"/>
        <v>78470.433049493062</v>
      </c>
      <c r="C228" s="2">
        <v>9494.9223989886596</v>
      </c>
      <c r="D228" s="9">
        <v>7.9556825396825404E-2</v>
      </c>
      <c r="E228" s="2">
        <f t="shared" si="184"/>
        <v>3758.395485051884</v>
      </c>
      <c r="F228" s="9">
        <v>1.9699911111111114E-2</v>
      </c>
      <c r="G228" s="2">
        <f t="shared" si="185"/>
        <v>-6625.0287400276857</v>
      </c>
      <c r="H228" s="7">
        <f t="shared" si="173"/>
        <v>-1.7627279423831652</v>
      </c>
      <c r="I228" s="9">
        <v>1.9699911111111114E-2</v>
      </c>
      <c r="J228" s="2">
        <v>-684.92225662194596</v>
      </c>
      <c r="K228" s="13">
        <v>7.6545604395604503</v>
      </c>
      <c r="L228" s="9">
        <f t="shared" si="174"/>
        <v>5.1711936507936512E-2</v>
      </c>
      <c r="M228" s="2">
        <f t="shared" si="175"/>
        <v>3758.395485051884</v>
      </c>
      <c r="N228" s="16">
        <f t="shared" si="186"/>
        <v>7.6545604395604512</v>
      </c>
    </row>
    <row r="229" spans="1:14" ht="17">
      <c r="A229" s="1" t="s">
        <v>225</v>
      </c>
      <c r="B229" s="6">
        <f t="shared" ref="B229" si="215">C229/11.09%</f>
        <v>128496.33711607574</v>
      </c>
      <c r="C229" s="2">
        <v>14250.243786172799</v>
      </c>
      <c r="D229" s="9">
        <v>8.0473968253968298E-2</v>
      </c>
      <c r="E229" s="2">
        <f t="shared" si="184"/>
        <v>5725.6770898270452</v>
      </c>
      <c r="F229" s="9">
        <v>1.9788711111111124E-2</v>
      </c>
      <c r="G229" s="2">
        <f t="shared" si="185"/>
        <v>-10157.484826609896</v>
      </c>
      <c r="H229" s="7">
        <f t="shared" si="173"/>
        <v>-1.7740233455807271</v>
      </c>
      <c r="I229" s="9">
        <v>1.9788711111111124E-2</v>
      </c>
      <c r="J229" s="2">
        <v>-688.61678706570297</v>
      </c>
      <c r="K229" s="13">
        <v>7.6813186813186896</v>
      </c>
      <c r="L229" s="9">
        <f t="shared" si="174"/>
        <v>5.2308079365079398E-2</v>
      </c>
      <c r="M229" s="2">
        <f t="shared" si="175"/>
        <v>5725.6770898270452</v>
      </c>
      <c r="N229" s="16">
        <f t="shared" si="186"/>
        <v>7.6813186813186887</v>
      </c>
    </row>
    <row r="230" spans="1:14" ht="17">
      <c r="A230" s="1" t="s">
        <v>226</v>
      </c>
      <c r="B230" s="6">
        <f t="shared" ref="B230" si="216">C230/12.01%</f>
        <v>95464.545936472947</v>
      </c>
      <c r="C230" s="2">
        <v>11465.291966970401</v>
      </c>
      <c r="D230" s="9">
        <v>8.1391111111111095E-2</v>
      </c>
      <c r="E230" s="2">
        <f t="shared" si="184"/>
        <v>4675.4292837622424</v>
      </c>
      <c r="F230" s="9">
        <v>2.0353511111111108E-2</v>
      </c>
      <c r="G230" s="2">
        <f t="shared" si="185"/>
        <v>-8547.0495645635365</v>
      </c>
      <c r="H230" s="7">
        <f t="shared" si="173"/>
        <v>-1.8280780321600467</v>
      </c>
      <c r="I230" s="9">
        <v>2.0353511111111108E-2</v>
      </c>
      <c r="J230" s="2">
        <v>-692.31131750945895</v>
      </c>
      <c r="K230" s="13">
        <v>7.7080769230769297</v>
      </c>
      <c r="L230" s="9">
        <f t="shared" si="174"/>
        <v>5.2904222222222214E-2</v>
      </c>
      <c r="M230" s="2">
        <f t="shared" si="175"/>
        <v>4675.4292837622424</v>
      </c>
      <c r="N230" s="16">
        <f t="shared" si="186"/>
        <v>7.7080769230769306</v>
      </c>
    </row>
    <row r="231" spans="1:14" ht="17">
      <c r="A231" s="1" t="s">
        <v>227</v>
      </c>
      <c r="B231" s="6">
        <f t="shared" ref="B231" si="217">C231/10.26%</f>
        <v>87395.435729740944</v>
      </c>
      <c r="C231" s="2">
        <v>8966.7717058714206</v>
      </c>
      <c r="D231" s="9">
        <v>8.2308253968254003E-2</v>
      </c>
      <c r="E231" s="2">
        <f t="shared" si="184"/>
        <v>3710.5981297782364</v>
      </c>
      <c r="F231" s="9">
        <v>2.030231111111112E-2</v>
      </c>
      <c r="G231" s="2">
        <f t="shared" si="185"/>
        <v>-6778.7751008864325</v>
      </c>
      <c r="H231" s="7">
        <f t="shared" si="173"/>
        <v>-1.826868570456474</v>
      </c>
      <c r="I231" s="9">
        <v>2.030231111111112E-2</v>
      </c>
      <c r="J231" s="2">
        <v>-696.00584795321595</v>
      </c>
      <c r="K231" s="13">
        <v>7.7348351648351699</v>
      </c>
      <c r="L231" s="9">
        <f t="shared" si="174"/>
        <v>5.3500365079365106E-2</v>
      </c>
      <c r="M231" s="2">
        <f t="shared" si="175"/>
        <v>3710.5981297782364</v>
      </c>
      <c r="N231" s="16">
        <f t="shared" si="186"/>
        <v>7.7348351648351699</v>
      </c>
    </row>
    <row r="232" spans="1:14" ht="17">
      <c r="A232" s="1" t="s">
        <v>228</v>
      </c>
      <c r="B232" s="6">
        <f t="shared" ref="B232" si="218">C232/11.36%</f>
        <v>95500.127402981525</v>
      </c>
      <c r="C232" s="2">
        <v>10848.8144729787</v>
      </c>
      <c r="D232" s="9">
        <v>8.32253968253968E-2</v>
      </c>
      <c r="E232" s="2">
        <f t="shared" si="184"/>
        <v>4555.1470543432333</v>
      </c>
      <c r="F232" s="9">
        <v>2.1175111111111106E-2</v>
      </c>
      <c r="G232" s="2">
        <f t="shared" si="185"/>
        <v>-8695.3951001796231</v>
      </c>
      <c r="H232" s="7">
        <f t="shared" si="173"/>
        <v>-1.9089164403350609</v>
      </c>
      <c r="I232" s="9">
        <v>2.1175111111111106E-2</v>
      </c>
      <c r="J232" s="2">
        <v>-699.70037839697204</v>
      </c>
      <c r="K232" s="13">
        <v>7.76159340659341</v>
      </c>
      <c r="L232" s="9">
        <f t="shared" si="174"/>
        <v>5.4096507936507922E-2</v>
      </c>
      <c r="M232" s="2">
        <f t="shared" si="175"/>
        <v>4555.1470543432333</v>
      </c>
      <c r="N232" s="16">
        <f t="shared" si="186"/>
        <v>7.7615934065934082</v>
      </c>
    </row>
    <row r="233" spans="1:14" ht="17">
      <c r="A233" s="1" t="s">
        <v>229</v>
      </c>
      <c r="B233" s="6">
        <f t="shared" ref="B233" si="219">C233/9.31%</f>
        <v>127563.96577612031</v>
      </c>
      <c r="C233" s="2">
        <v>11876.205213756801</v>
      </c>
      <c r="D233" s="9">
        <v>8.4142539682539694E-2</v>
      </c>
      <c r="E233" s="2">
        <f t="shared" si="184"/>
        <v>5058.8548435146231</v>
      </c>
      <c r="F233" s="9">
        <v>2.042391111111112E-2</v>
      </c>
      <c r="G233" s="2">
        <f t="shared" si="185"/>
        <v>-9331.356858780744</v>
      </c>
      <c r="H233" s="7">
        <f t="shared" si="173"/>
        <v>-1.8445591240364221</v>
      </c>
      <c r="I233" s="9">
        <v>2.042391111111112E-2</v>
      </c>
      <c r="J233" s="2">
        <v>-703.39490884072904</v>
      </c>
      <c r="K233" s="13">
        <v>7.7883516483516599</v>
      </c>
      <c r="L233" s="9">
        <f t="shared" si="174"/>
        <v>5.46926507936508E-2</v>
      </c>
      <c r="M233" s="2">
        <f t="shared" si="175"/>
        <v>5058.8548435146231</v>
      </c>
      <c r="N233" s="16">
        <f t="shared" si="186"/>
        <v>7.7883516483516582</v>
      </c>
    </row>
    <row r="234" spans="1:14" ht="17">
      <c r="A234" s="1" t="s">
        <v>230</v>
      </c>
      <c r="B234" s="6">
        <f t="shared" ref="B234:B235" si="220">C234/12.1%</f>
        <v>108405.26357554134</v>
      </c>
      <c r="C234" s="2">
        <v>13117.036892640501</v>
      </c>
      <c r="D234" s="9">
        <v>8.5059682539682602E-2</v>
      </c>
      <c r="E234" s="2">
        <f t="shared" si="184"/>
        <v>5667.7142115849892</v>
      </c>
      <c r="F234" s="9">
        <v>2.0764711111111129E-2</v>
      </c>
      <c r="G234" s="2">
        <f t="shared" si="185"/>
        <v>-10648.123962849722</v>
      </c>
      <c r="H234" s="7">
        <f t="shared" si="173"/>
        <v>-1.8787333950403879</v>
      </c>
      <c r="I234" s="9">
        <v>2.0764711111111129E-2</v>
      </c>
      <c r="J234" s="2">
        <v>-707.08943928448502</v>
      </c>
      <c r="K234" s="13">
        <v>7.8151098901099001</v>
      </c>
      <c r="L234" s="9">
        <f t="shared" si="174"/>
        <v>5.5288793650793693E-2</v>
      </c>
      <c r="M234" s="2">
        <f t="shared" si="175"/>
        <v>5667.7142115849892</v>
      </c>
      <c r="N234" s="16">
        <f t="shared" si="186"/>
        <v>7.8151098901099001</v>
      </c>
    </row>
    <row r="235" spans="1:14" ht="17">
      <c r="A235" s="1" t="s">
        <v>231</v>
      </c>
      <c r="B235" s="6">
        <f t="shared" si="220"/>
        <v>88350.215780621482</v>
      </c>
      <c r="C235" s="2">
        <v>10690.376109455199</v>
      </c>
      <c r="D235" s="9">
        <v>8.5976825396825399E-2</v>
      </c>
      <c r="E235" s="2">
        <f t="shared" si="184"/>
        <v>4684.9750424349249</v>
      </c>
      <c r="F235" s="9">
        <v>2.1105511111111114E-2</v>
      </c>
      <c r="G235" s="2">
        <f t="shared" si="185"/>
        <v>-8962.3364861522859</v>
      </c>
      <c r="H235" s="7">
        <f t="shared" si="173"/>
        <v>-1.9129955666731333</v>
      </c>
      <c r="I235" s="9">
        <v>2.1105511111111114E-2</v>
      </c>
      <c r="J235" s="2">
        <v>-710.78396972824203</v>
      </c>
      <c r="K235" s="13">
        <v>7.8418681318681402</v>
      </c>
      <c r="L235" s="9">
        <f t="shared" si="174"/>
        <v>5.5884936507936508E-2</v>
      </c>
      <c r="M235" s="2">
        <f t="shared" si="175"/>
        <v>4684.9750424349249</v>
      </c>
      <c r="N235" s="16">
        <f t="shared" si="186"/>
        <v>7.8418681318681402</v>
      </c>
    </row>
    <row r="236" spans="1:14" ht="17">
      <c r="A236" s="1" t="s">
        <v>232</v>
      </c>
      <c r="B236" s="6">
        <f t="shared" ref="B236" si="221">C236/11.09%</f>
        <v>68583.895973974213</v>
      </c>
      <c r="C236" s="2">
        <v>7605.95406351374</v>
      </c>
      <c r="D236" s="9">
        <v>8.6893968253968307E-2</v>
      </c>
      <c r="E236" s="2">
        <f t="shared" si="184"/>
        <v>3380.3028369224512</v>
      </c>
      <c r="F236" s="9">
        <v>2.3718311111111123E-2</v>
      </c>
      <c r="G236" s="2">
        <f t="shared" si="185"/>
        <v>-7279.9703712823602</v>
      </c>
      <c r="H236" s="7">
        <f t="shared" si="173"/>
        <v>-2.153644428470884</v>
      </c>
      <c r="I236" s="9">
        <v>2.3718311111111123E-2</v>
      </c>
      <c r="J236" s="2">
        <v>-714.47850017199801</v>
      </c>
      <c r="K236" s="13">
        <v>7.8686263736263804</v>
      </c>
      <c r="L236" s="9">
        <f t="shared" si="174"/>
        <v>5.6481079365079401E-2</v>
      </c>
      <c r="M236" s="2">
        <f t="shared" si="175"/>
        <v>3380.3028369224512</v>
      </c>
      <c r="N236" s="16">
        <f t="shared" si="186"/>
        <v>7.8686263736263804</v>
      </c>
    </row>
    <row r="237" spans="1:14" ht="17">
      <c r="A237" s="1" t="s">
        <v>233</v>
      </c>
      <c r="B237" s="6">
        <f t="shared" ref="B237" si="222">C237/12.01%</f>
        <v>58929.287233233386</v>
      </c>
      <c r="C237" s="2">
        <v>7077.40739671133</v>
      </c>
      <c r="D237" s="9">
        <v>8.7811111111111104E-2</v>
      </c>
      <c r="E237" s="2">
        <f t="shared" si="184"/>
        <v>3189.4097374185335</v>
      </c>
      <c r="F237" s="9">
        <v>2.201111111111111E-2</v>
      </c>
      <c r="G237" s="2">
        <f t="shared" si="185"/>
        <v>-6385.6936987800409</v>
      </c>
      <c r="H237" s="7">
        <f t="shared" si="173"/>
        <v>-2.0021553279474644</v>
      </c>
      <c r="I237" s="9">
        <v>2.201111111111111E-2</v>
      </c>
      <c r="J237" s="2">
        <v>-718.17303061575399</v>
      </c>
      <c r="K237" s="13">
        <v>7.8953846153846197</v>
      </c>
      <c r="L237" s="9">
        <f t="shared" si="174"/>
        <v>5.7077222222222217E-2</v>
      </c>
      <c r="M237" s="2">
        <f t="shared" si="175"/>
        <v>3189.4097374185335</v>
      </c>
      <c r="N237" s="16">
        <f t="shared" si="186"/>
        <v>7.8953846153846214</v>
      </c>
    </row>
    <row r="238" spans="1:14" ht="17">
      <c r="A238" s="1" t="s">
        <v>234</v>
      </c>
      <c r="B238" s="6">
        <f t="shared" ref="B238" si="223">C238/10.26%</f>
        <v>234155.10922310234</v>
      </c>
      <c r="C238" s="2">
        <v>24024.314206290299</v>
      </c>
      <c r="D238" s="9">
        <v>8.8728253968253998E-2</v>
      </c>
      <c r="E238" s="2">
        <f t="shared" si="184"/>
        <v>10976.628372151721</v>
      </c>
      <c r="F238" s="9">
        <v>2.209991111111112E-2</v>
      </c>
      <c r="G238" s="2">
        <f t="shared" si="185"/>
        <v>-22104.176731355328</v>
      </c>
      <c r="H238" s="7">
        <f t="shared" si="173"/>
        <v>-2.0137492116827764</v>
      </c>
      <c r="I238" s="9">
        <v>2.209991111111112E-2</v>
      </c>
      <c r="J238" s="2">
        <v>-721.86756105951099</v>
      </c>
      <c r="K238" s="13">
        <v>7.9221428571428598</v>
      </c>
      <c r="L238" s="9">
        <f t="shared" si="174"/>
        <v>5.7673365079365102E-2</v>
      </c>
      <c r="M238" s="2">
        <f t="shared" si="175"/>
        <v>10976.628372151721</v>
      </c>
      <c r="N238" s="16">
        <f t="shared" si="186"/>
        <v>7.9221428571428598</v>
      </c>
    </row>
    <row r="239" spans="1:14" ht="17">
      <c r="A239" s="1" t="s">
        <v>235</v>
      </c>
      <c r="B239" s="6">
        <f t="shared" ref="B239" si="224">C239/11.36%</f>
        <v>261201.8649137113</v>
      </c>
      <c r="C239" s="2">
        <v>29672.531854197601</v>
      </c>
      <c r="D239" s="9">
        <v>8.9645396825396795E-2</v>
      </c>
      <c r="E239" s="2">
        <f t="shared" si="184"/>
        <v>13743.680447267703</v>
      </c>
      <c r="F239" s="9">
        <v>2.3718311111111123E-2</v>
      </c>
      <c r="G239" s="2">
        <f t="shared" si="185"/>
        <v>-29754.612640804797</v>
      </c>
      <c r="H239" s="7">
        <f t="shared" si="173"/>
        <v>-2.1649668554917638</v>
      </c>
      <c r="I239" s="9">
        <v>2.3718311111111123E-2</v>
      </c>
      <c r="J239" s="2">
        <v>-725.56209150326697</v>
      </c>
      <c r="K239" s="13">
        <v>7.9489010989011097</v>
      </c>
      <c r="L239" s="9">
        <f t="shared" si="174"/>
        <v>5.8269507936507918E-2</v>
      </c>
      <c r="M239" s="2">
        <f t="shared" si="175"/>
        <v>13743.680447267703</v>
      </c>
      <c r="N239" s="16">
        <f t="shared" si="186"/>
        <v>7.9489010989011106</v>
      </c>
    </row>
    <row r="240" spans="1:14" ht="17">
      <c r="A240" s="1" t="s">
        <v>236</v>
      </c>
      <c r="B240" s="6">
        <f t="shared" ref="B240" si="225">C240/9.31%</f>
        <v>109759.57656773791</v>
      </c>
      <c r="C240" s="2">
        <v>10218.6165784564</v>
      </c>
      <c r="D240" s="9">
        <v>9.0562539682539703E-2</v>
      </c>
      <c r="E240" s="2">
        <f t="shared" si="184"/>
        <v>4797.5625931652048</v>
      </c>
      <c r="F240" s="9">
        <v>2.261351111111112E-2</v>
      </c>
      <c r="G240" s="2">
        <f t="shared" si="185"/>
        <v>-9919.7889839212494</v>
      </c>
      <c r="H240" s="7">
        <f t="shared" si="173"/>
        <v>-2.0676726548713233</v>
      </c>
      <c r="I240" s="9">
        <v>2.261351111111112E-2</v>
      </c>
      <c r="J240" s="2">
        <v>-729.25662194702397</v>
      </c>
      <c r="K240" s="13">
        <v>7.9756593406593499</v>
      </c>
      <c r="L240" s="9">
        <f t="shared" si="174"/>
        <v>5.886565079365081E-2</v>
      </c>
      <c r="M240" s="2">
        <f t="shared" si="175"/>
        <v>4797.5625931652048</v>
      </c>
      <c r="N240" s="16">
        <f t="shared" si="186"/>
        <v>7.9756593406593508</v>
      </c>
    </row>
    <row r="241" spans="1:14" ht="17">
      <c r="A241" s="1" t="s">
        <v>237</v>
      </c>
      <c r="B241" s="6">
        <f t="shared" ref="B241:B242" si="226">C241/12.1%</f>
        <v>99884.895060971918</v>
      </c>
      <c r="C241" s="2">
        <v>12086.072302377601</v>
      </c>
      <c r="D241" s="9">
        <v>9.1479682539682597E-2</v>
      </c>
      <c r="E241" s="2">
        <f t="shared" si="184"/>
        <v>5751.0137170019907</v>
      </c>
      <c r="F241" s="9">
        <v>2.348631111111113E-2</v>
      </c>
      <c r="G241" s="2">
        <f t="shared" si="185"/>
        <v>-12371.234379516131</v>
      </c>
      <c r="H241" s="7">
        <f t="shared" si="173"/>
        <v>-2.1511397795735512</v>
      </c>
      <c r="I241" s="9">
        <v>2.348631111111113E-2</v>
      </c>
      <c r="J241" s="2">
        <v>-732.95115239077995</v>
      </c>
      <c r="K241" s="13">
        <v>8.0024175824175892</v>
      </c>
      <c r="L241" s="9">
        <f t="shared" si="174"/>
        <v>5.9461793650793689E-2</v>
      </c>
      <c r="M241" s="2">
        <f t="shared" si="175"/>
        <v>5751.0137170019907</v>
      </c>
      <c r="N241" s="16">
        <f t="shared" si="186"/>
        <v>8.0024175824175874</v>
      </c>
    </row>
    <row r="242" spans="1:14" ht="17">
      <c r="A242" s="1" t="s">
        <v>238</v>
      </c>
      <c r="B242" s="6">
        <f t="shared" si="226"/>
        <v>105769.7994361091</v>
      </c>
      <c r="C242" s="2">
        <v>12798.1457317692</v>
      </c>
      <c r="D242" s="9">
        <v>9.2396825396825394E-2</v>
      </c>
      <c r="E242" s="2">
        <f t="shared" si="184"/>
        <v>6171.4672104884794</v>
      </c>
      <c r="F242" s="9">
        <v>2.2735111111111116E-2</v>
      </c>
      <c r="G242" s="2">
        <f t="shared" si="185"/>
        <v>-12872.804884933257</v>
      </c>
      <c r="H242" s="7">
        <f t="shared" si="173"/>
        <v>-2.0858581024388783</v>
      </c>
      <c r="I242" s="9">
        <v>2.2735111111111116E-2</v>
      </c>
      <c r="J242" s="2">
        <v>-736.64568283453696</v>
      </c>
      <c r="K242" s="13">
        <v>8.0291758241758302</v>
      </c>
      <c r="L242" s="9">
        <f t="shared" si="174"/>
        <v>6.0057936507936505E-2</v>
      </c>
      <c r="M242" s="2">
        <f t="shared" si="175"/>
        <v>6171.4672104884794</v>
      </c>
      <c r="N242" s="16">
        <f t="shared" si="186"/>
        <v>8.029175824175832</v>
      </c>
    </row>
    <row r="243" spans="1:14" ht="17">
      <c r="A243" s="1" t="s">
        <v>239</v>
      </c>
      <c r="B243" s="6">
        <f t="shared" ref="B243" si="227">C243/11.09%</f>
        <v>104989.2900486375</v>
      </c>
      <c r="C243" s="2">
        <v>11643.312266393899</v>
      </c>
      <c r="D243" s="9">
        <v>9.3313968253968302E-2</v>
      </c>
      <c r="E243" s="2">
        <f t="shared" si="184"/>
        <v>5689.216532271741</v>
      </c>
      <c r="F243" s="9">
        <v>2.3075911111111125E-2</v>
      </c>
      <c r="G243" s="2">
        <f t="shared" si="185"/>
        <v>-12064.984197762675</v>
      </c>
      <c r="H243" s="7">
        <f t="shared" si="173"/>
        <v>-2.1206758662330345</v>
      </c>
      <c r="I243" s="9">
        <v>2.3075911111111125E-2</v>
      </c>
      <c r="J243" s="2">
        <v>-740.34021327829305</v>
      </c>
      <c r="K243" s="13">
        <v>8.0559340659340695</v>
      </c>
      <c r="L243" s="9">
        <f t="shared" si="174"/>
        <v>6.0654079365079397E-2</v>
      </c>
      <c r="M243" s="2">
        <f t="shared" si="175"/>
        <v>5689.216532271741</v>
      </c>
      <c r="N243" s="16">
        <f t="shared" si="186"/>
        <v>8.0559340659340677</v>
      </c>
    </row>
    <row r="244" spans="1:14" ht="17">
      <c r="A244" s="1" t="s">
        <v>240</v>
      </c>
      <c r="B244" s="6">
        <f t="shared" ref="B244" si="228">C244/12.01%</f>
        <v>86653.005599713579</v>
      </c>
      <c r="C244" s="2">
        <v>10407.0259725256</v>
      </c>
      <c r="D244" s="9">
        <v>9.4231111111111196E-2</v>
      </c>
      <c r="E244" s="2">
        <f t="shared" si="184"/>
        <v>5152.1720050325521</v>
      </c>
      <c r="F244" s="9">
        <v>2.3416711111111137E-2</v>
      </c>
      <c r="G244" s="2">
        <f t="shared" si="185"/>
        <v>-11105.891371687567</v>
      </c>
      <c r="H244" s="7">
        <f t="shared" si="173"/>
        <v>-2.1555746510092297</v>
      </c>
      <c r="I244" s="9">
        <v>2.3416711111111137E-2</v>
      </c>
      <c r="J244" s="2">
        <v>-744.03474372205005</v>
      </c>
      <c r="K244" s="13">
        <v>8.0826923076923194</v>
      </c>
      <c r="L244" s="9">
        <f t="shared" si="174"/>
        <v>6.1250222222222282E-2</v>
      </c>
      <c r="M244" s="2">
        <f t="shared" si="175"/>
        <v>5152.1720050325521</v>
      </c>
      <c r="N244" s="16">
        <f t="shared" si="186"/>
        <v>8.0826923076923194</v>
      </c>
    </row>
    <row r="245" spans="1:14" ht="17">
      <c r="A245" s="1" t="s">
        <v>241</v>
      </c>
      <c r="B245" s="6">
        <f t="shared" ref="B245" si="229">C245/10.26%</f>
        <v>103837.96417689083</v>
      </c>
      <c r="C245" s="2">
        <v>10653.775124549</v>
      </c>
      <c r="D245" s="9">
        <v>9.5148253968254007E-2</v>
      </c>
      <c r="E245" s="2">
        <f t="shared" si="184"/>
        <v>5343.2947943866893</v>
      </c>
      <c r="F245" s="9">
        <v>2.5801511111111123E-2</v>
      </c>
      <c r="G245" s="2">
        <f t="shared" si="185"/>
        <v>-12711.805266962427</v>
      </c>
      <c r="H245" s="7">
        <f t="shared" si="173"/>
        <v>-2.3790200159490742</v>
      </c>
      <c r="I245" s="9">
        <v>2.5801511111111123E-2</v>
      </c>
      <c r="J245" s="2">
        <v>-747.72927416580603</v>
      </c>
      <c r="K245" s="13">
        <v>8.1094505494505604</v>
      </c>
      <c r="L245" s="9">
        <f t="shared" si="174"/>
        <v>6.1846365079365105E-2</v>
      </c>
      <c r="M245" s="2">
        <f t="shared" si="175"/>
        <v>5343.2947943866893</v>
      </c>
      <c r="N245" s="16">
        <f t="shared" si="186"/>
        <v>8.1094505494505587</v>
      </c>
    </row>
    <row r="246" spans="1:14" ht="17">
      <c r="A246" s="1" t="s">
        <v>242</v>
      </c>
      <c r="B246" s="6">
        <f t="shared" ref="B246" si="230">C246/11.36%</f>
        <v>161596.1737473442</v>
      </c>
      <c r="C246" s="2">
        <v>18357.325337698301</v>
      </c>
      <c r="D246" s="9">
        <v>9.6065396825396901E-2</v>
      </c>
      <c r="E246" s="2">
        <f t="shared" si="184"/>
        <v>9326.3525282897099</v>
      </c>
      <c r="F246" s="9">
        <v>2.4322311111111133E-2</v>
      </c>
      <c r="G246" s="2">
        <f t="shared" si="185"/>
        <v>-20949.783098657797</v>
      </c>
      <c r="H246" s="7">
        <f t="shared" si="173"/>
        <v>-2.2462997227598493</v>
      </c>
      <c r="I246" s="9">
        <v>2.4322311111111133E-2</v>
      </c>
      <c r="J246" s="2">
        <v>-751.42380460956304</v>
      </c>
      <c r="K246" s="13">
        <v>8.1362087912087997</v>
      </c>
      <c r="L246" s="9">
        <f t="shared" si="174"/>
        <v>6.244250793650799E-2</v>
      </c>
      <c r="M246" s="2">
        <f t="shared" si="175"/>
        <v>9326.3525282897099</v>
      </c>
      <c r="N246" s="16">
        <f t="shared" si="186"/>
        <v>8.1362087912087997</v>
      </c>
    </row>
    <row r="247" spans="1:14" ht="17">
      <c r="A247" s="1" t="s">
        <v>243</v>
      </c>
      <c r="B247" s="6">
        <f t="shared" ref="B247" si="231">C247/9.31%</f>
        <v>306786.02923370246</v>
      </c>
      <c r="C247" s="2">
        <v>28561.779321657701</v>
      </c>
      <c r="D247" s="9">
        <v>6.8777142857142898E-2</v>
      </c>
      <c r="E247" s="2">
        <f t="shared" si="184"/>
        <v>10422.953227644512</v>
      </c>
      <c r="F247" s="9">
        <v>1.6513600000000014E-2</v>
      </c>
      <c r="G247" s="2">
        <f t="shared" si="185"/>
        <v>-15922.069766844254</v>
      </c>
      <c r="H247" s="7">
        <f t="shared" si="173"/>
        <v>-1.5275967779088355</v>
      </c>
      <c r="I247" s="9">
        <v>1.6513600000000014E-2</v>
      </c>
      <c r="J247" s="2">
        <v>-755.11833505331902</v>
      </c>
      <c r="K247" s="13">
        <v>8.1629670329670407</v>
      </c>
      <c r="L247" s="9">
        <f t="shared" si="174"/>
        <v>4.4705142857142888E-2</v>
      </c>
      <c r="M247" s="2">
        <f t="shared" si="175"/>
        <v>10422.953227644512</v>
      </c>
      <c r="N247" s="16">
        <f t="shared" si="186"/>
        <v>8.1629670329670407</v>
      </c>
    </row>
    <row r="248" spans="1:14" ht="17">
      <c r="A248" s="1" t="s">
        <v>244</v>
      </c>
      <c r="B248" s="6">
        <f t="shared" ref="B248:B249" si="232">C248/12.1%</f>
        <v>41295.338868551655</v>
      </c>
      <c r="C248" s="2">
        <v>4996.7360030947502</v>
      </c>
      <c r="D248" s="9">
        <v>6.9602857142857105E-2</v>
      </c>
      <c r="E248" s="2">
        <f t="shared" si="184"/>
        <v>1851.3825337431813</v>
      </c>
      <c r="F248" s="9">
        <v>1.7052799999999989E-2</v>
      </c>
      <c r="G248" s="2">
        <f t="shared" si="185"/>
        <v>-2925.2111008933066</v>
      </c>
      <c r="H248" s="7">
        <f t="shared" si="173"/>
        <v>-1.5800144203472775</v>
      </c>
      <c r="I248" s="9">
        <v>1.7052799999999989E-2</v>
      </c>
      <c r="J248" s="2">
        <v>-758.81286549707499</v>
      </c>
      <c r="K248" s="13">
        <v>8.18972527472528</v>
      </c>
      <c r="L248" s="9">
        <f t="shared" si="174"/>
        <v>4.5241857142857118E-2</v>
      </c>
      <c r="M248" s="2">
        <f t="shared" si="175"/>
        <v>1851.3825337431813</v>
      </c>
      <c r="N248" s="16">
        <f t="shared" si="186"/>
        <v>8.1897252747252818</v>
      </c>
    </row>
    <row r="249" spans="1:14" ht="17">
      <c r="A249" s="1" t="s">
        <v>245</v>
      </c>
      <c r="B249" s="6">
        <f t="shared" si="232"/>
        <v>46015.939921588841</v>
      </c>
      <c r="C249" s="2">
        <v>5567.9287305122498</v>
      </c>
      <c r="D249" s="9">
        <v>7.0428571428571396E-2</v>
      </c>
      <c r="E249" s="2">
        <f t="shared" si="184"/>
        <v>2094.3144629789554</v>
      </c>
      <c r="F249" s="9">
        <v>1.6975999999999995E-2</v>
      </c>
      <c r="G249" s="2">
        <f t="shared" si="185"/>
        <v>-3299.4027391157879</v>
      </c>
      <c r="H249" s="7">
        <f t="shared" si="173"/>
        <v>-1.5754094227199833</v>
      </c>
      <c r="I249" s="9">
        <v>1.6975999999999995E-2</v>
      </c>
      <c r="J249" s="2">
        <v>-762.507395940832</v>
      </c>
      <c r="K249" s="13">
        <v>8.2164835164835193</v>
      </c>
      <c r="L249" s="9">
        <f t="shared" si="174"/>
        <v>4.5778571428571412E-2</v>
      </c>
      <c r="M249" s="2">
        <f t="shared" si="175"/>
        <v>2094.3144629789554</v>
      </c>
      <c r="N249" s="16">
        <f t="shared" si="186"/>
        <v>8.2164835164835193</v>
      </c>
    </row>
    <row r="250" spans="1:14" ht="17">
      <c r="A250" s="1" t="s">
        <v>246</v>
      </c>
      <c r="B250" s="6">
        <f t="shared" ref="B250" si="233">C250/11.09%</f>
        <v>53370.852195270243</v>
      </c>
      <c r="C250" s="2">
        <v>5918.8275084554698</v>
      </c>
      <c r="D250" s="9">
        <v>8.4142539682539694E-2</v>
      </c>
      <c r="E250" s="2">
        <f t="shared" si="184"/>
        <v>2668.4722662667141</v>
      </c>
      <c r="F250" s="9">
        <v>2.1431911111111118E-2</v>
      </c>
      <c r="G250" s="2">
        <f t="shared" si="185"/>
        <v>-5315.8019896143542</v>
      </c>
      <c r="H250" s="7">
        <f t="shared" ref="H250:H313" si="234">G250/E250</f>
        <v>-1.9920769111276344</v>
      </c>
      <c r="I250" s="9">
        <v>2.1431911111111118E-2</v>
      </c>
      <c r="J250" s="2">
        <v>-766.20192638458798</v>
      </c>
      <c r="K250" s="13">
        <v>8.2432417582417692</v>
      </c>
      <c r="L250" s="9">
        <f t="shared" ref="L250:L313" si="235">D250*65%</f>
        <v>5.46926507936508E-2</v>
      </c>
      <c r="M250" s="2">
        <f t="shared" ref="M250:M313" si="236">C250*L250*K250</f>
        <v>2668.4722662667141</v>
      </c>
      <c r="N250" s="16">
        <f t="shared" si="186"/>
        <v>8.243241758241771</v>
      </c>
    </row>
    <row r="251" spans="1:14" ht="17">
      <c r="A251" s="1" t="s">
        <v>247</v>
      </c>
      <c r="B251" s="6">
        <f t="shared" ref="B251" si="237">C251/12.01%</f>
        <v>97109.225118630318</v>
      </c>
      <c r="C251" s="2">
        <v>11662.8179367475</v>
      </c>
      <c r="D251" s="9">
        <v>8.5059682539682602E-2</v>
      </c>
      <c r="E251" s="2">
        <f t="shared" si="184"/>
        <v>5332.6873205916045</v>
      </c>
      <c r="F251" s="9">
        <v>2.0680711111111132E-2</v>
      </c>
      <c r="G251" s="2">
        <f t="shared" si="185"/>
        <v>-10266.877947984904</v>
      </c>
      <c r="H251" s="7">
        <f t="shared" si="234"/>
        <v>-1.9252728185169319</v>
      </c>
      <c r="I251" s="9">
        <v>2.0680711111111132E-2</v>
      </c>
      <c r="J251" s="2">
        <v>-769.89645682834498</v>
      </c>
      <c r="K251" s="13">
        <v>8.2700000000000102</v>
      </c>
      <c r="L251" s="9">
        <f t="shared" si="235"/>
        <v>5.5288793650793693E-2</v>
      </c>
      <c r="M251" s="2">
        <f t="shared" si="236"/>
        <v>5332.6873205916045</v>
      </c>
      <c r="N251" s="16">
        <f t="shared" si="186"/>
        <v>8.2700000000000102</v>
      </c>
    </row>
    <row r="252" spans="1:14" ht="17">
      <c r="A252" s="1" t="s">
        <v>248</v>
      </c>
      <c r="B252" s="6">
        <f t="shared" ref="B252" si="238">C252/10.26%</f>
        <v>83390.124460741819</v>
      </c>
      <c r="C252" s="2">
        <v>8555.8267696721105</v>
      </c>
      <c r="D252" s="9">
        <v>8.5976825396825399E-2</v>
      </c>
      <c r="E252" s="2">
        <f t="shared" si="184"/>
        <v>3967.0272168701267</v>
      </c>
      <c r="F252" s="9">
        <v>2.1021511111111117E-2</v>
      </c>
      <c r="G252" s="2">
        <f t="shared" si="185"/>
        <v>-7775.5671744656875</v>
      </c>
      <c r="H252" s="7">
        <f t="shared" si="234"/>
        <v>-1.9600488601135417</v>
      </c>
      <c r="I252" s="9">
        <v>2.1021511111111117E-2</v>
      </c>
      <c r="J252" s="2">
        <v>-773.59098727210096</v>
      </c>
      <c r="K252" s="13">
        <v>8.2967582417582495</v>
      </c>
      <c r="L252" s="9">
        <f t="shared" si="235"/>
        <v>5.5884936507936508E-2</v>
      </c>
      <c r="M252" s="2">
        <f t="shared" si="236"/>
        <v>3967.0272168701267</v>
      </c>
      <c r="N252" s="16">
        <f t="shared" si="186"/>
        <v>8.2967582417582477</v>
      </c>
    </row>
    <row r="253" spans="1:14" ht="17">
      <c r="A253" s="1" t="s">
        <v>249</v>
      </c>
      <c r="B253" s="6">
        <f t="shared" ref="B253" si="239">C253/11.36%</f>
        <v>87989.229099929667</v>
      </c>
      <c r="C253" s="2">
        <v>9995.5764257520095</v>
      </c>
      <c r="D253" s="9">
        <v>8.6893968253968307E-2</v>
      </c>
      <c r="E253" s="2">
        <f t="shared" si="184"/>
        <v>4699.1323350083276</v>
      </c>
      <c r="F253" s="9">
        <v>2.1362311111111126E-2</v>
      </c>
      <c r="G253" s="2">
        <f t="shared" si="185"/>
        <v>-9374.317171581888</v>
      </c>
      <c r="H253" s="7">
        <f t="shared" si="234"/>
        <v>-1.9949038467684004</v>
      </c>
      <c r="I253" s="9">
        <v>2.1362311111111126E-2</v>
      </c>
      <c r="J253" s="2">
        <v>-777.28551771585796</v>
      </c>
      <c r="K253" s="13">
        <v>8.3235164835164905</v>
      </c>
      <c r="L253" s="9">
        <f t="shared" si="235"/>
        <v>5.6481079365079401E-2</v>
      </c>
      <c r="M253" s="2">
        <f t="shared" si="236"/>
        <v>4699.1323350083276</v>
      </c>
      <c r="N253" s="16">
        <f t="shared" si="186"/>
        <v>8.3235164835164905</v>
      </c>
    </row>
    <row r="254" spans="1:14" ht="17">
      <c r="A254" s="1" t="s">
        <v>250</v>
      </c>
      <c r="B254" s="6">
        <f t="shared" ref="B254" si="240">C254/9.31%</f>
        <v>62658.604906963803</v>
      </c>
      <c r="C254" s="2">
        <v>5833.5161168383302</v>
      </c>
      <c r="D254" s="9">
        <v>8.7811111111111104E-2</v>
      </c>
      <c r="E254" s="2">
        <f t="shared" si="184"/>
        <v>2780.3149521833193</v>
      </c>
      <c r="F254" s="9">
        <v>2.3747111111111111E-2</v>
      </c>
      <c r="G254" s="2">
        <f t="shared" si="185"/>
        <v>-6175.0994246460587</v>
      </c>
      <c r="H254" s="7">
        <f t="shared" si="234"/>
        <v>-2.2210071631621773</v>
      </c>
      <c r="I254" s="9">
        <v>2.3747111111111111E-2</v>
      </c>
      <c r="J254" s="2">
        <v>-780.98004815961394</v>
      </c>
      <c r="K254" s="13">
        <v>8.3502747252747298</v>
      </c>
      <c r="L254" s="9">
        <f t="shared" si="235"/>
        <v>5.7077222222222217E-2</v>
      </c>
      <c r="M254" s="2">
        <f t="shared" si="236"/>
        <v>2780.3149521833193</v>
      </c>
      <c r="N254" s="16">
        <f t="shared" si="186"/>
        <v>8.3502747252747298</v>
      </c>
    </row>
    <row r="255" spans="1:14" ht="17">
      <c r="A255" s="1" t="s">
        <v>251</v>
      </c>
      <c r="B255" s="6">
        <f t="shared" ref="B255:B256" si="241">C255/12.1%</f>
        <v>63058.333465888099</v>
      </c>
      <c r="C255" s="2">
        <v>7630.0583493724598</v>
      </c>
      <c r="D255" s="9">
        <v>8.8728253968253998E-2</v>
      </c>
      <c r="E255" s="2">
        <f t="shared" si="184"/>
        <v>3686.3229133287937</v>
      </c>
      <c r="F255" s="9">
        <v>2.2267911111111122E-2</v>
      </c>
      <c r="G255" s="2">
        <f t="shared" si="185"/>
        <v>-7689.0416434592807</v>
      </c>
      <c r="H255" s="7">
        <f t="shared" si="234"/>
        <v>-2.0858296530826661</v>
      </c>
      <c r="I255" s="9">
        <v>2.2267911111111122E-2</v>
      </c>
      <c r="J255" s="2">
        <v>-784.67457860337095</v>
      </c>
      <c r="K255" s="13">
        <v>8.3770329670329708</v>
      </c>
      <c r="L255" s="9">
        <f t="shared" si="235"/>
        <v>5.7673365079365102E-2</v>
      </c>
      <c r="M255" s="2">
        <f t="shared" si="236"/>
        <v>3686.3229133287937</v>
      </c>
      <c r="N255" s="16">
        <f t="shared" si="186"/>
        <v>8.3770329670329726</v>
      </c>
    </row>
    <row r="256" spans="1:14" ht="17">
      <c r="A256" s="1" t="s">
        <v>252</v>
      </c>
      <c r="B256" s="6">
        <f t="shared" si="241"/>
        <v>52078.139582298354</v>
      </c>
      <c r="C256" s="2">
        <v>6301.4548894581003</v>
      </c>
      <c r="D256" s="9">
        <v>8.9645396825396795E-2</v>
      </c>
      <c r="E256" s="2">
        <f t="shared" si="184"/>
        <v>3085.7265420078038</v>
      </c>
      <c r="F256" s="9">
        <v>2.2356711111111108E-2</v>
      </c>
      <c r="G256" s="2">
        <f t="shared" si="185"/>
        <v>-6471.7196553723634</v>
      </c>
      <c r="H256" s="7">
        <f t="shared" si="234"/>
        <v>-2.0973082245847294</v>
      </c>
      <c r="I256" s="9">
        <v>2.2356711111111108E-2</v>
      </c>
      <c r="J256" s="2">
        <v>-788.36910904712704</v>
      </c>
      <c r="K256" s="13">
        <v>8.4037912087912208</v>
      </c>
      <c r="L256" s="9">
        <f t="shared" si="235"/>
        <v>5.8269507936507918E-2</v>
      </c>
      <c r="M256" s="2">
        <f t="shared" si="236"/>
        <v>3085.7265420078038</v>
      </c>
      <c r="N256" s="16">
        <f t="shared" si="186"/>
        <v>8.403791208791219</v>
      </c>
    </row>
    <row r="257" spans="1:14" ht="17">
      <c r="A257" s="1" t="s">
        <v>253</v>
      </c>
      <c r="B257" s="6">
        <f t="shared" ref="B257" si="242">C257/11.09%</f>
        <v>74497.327973169173</v>
      </c>
      <c r="C257" s="2">
        <v>8261.7536722244604</v>
      </c>
      <c r="D257" s="9">
        <v>9.0562539682539703E-2</v>
      </c>
      <c r="E257" s="2">
        <f t="shared" si="184"/>
        <v>4100.0586769543479</v>
      </c>
      <c r="F257" s="9">
        <v>2.2921511111111119E-2</v>
      </c>
      <c r="G257" s="2">
        <f t="shared" si="185"/>
        <v>-8829.5285305649704</v>
      </c>
      <c r="H257" s="7">
        <f t="shared" si="234"/>
        <v>-2.1535127241456506</v>
      </c>
      <c r="I257" s="9">
        <v>2.2921511111111119E-2</v>
      </c>
      <c r="J257" s="2">
        <v>-792.06363949088302</v>
      </c>
      <c r="K257" s="13">
        <v>8.43054945054946</v>
      </c>
      <c r="L257" s="9">
        <f t="shared" si="235"/>
        <v>5.886565079365081E-2</v>
      </c>
      <c r="M257" s="2">
        <f t="shared" si="236"/>
        <v>4100.0586769543479</v>
      </c>
      <c r="N257" s="16">
        <f t="shared" si="186"/>
        <v>8.43054945054946</v>
      </c>
    </row>
    <row r="258" spans="1:14" ht="17">
      <c r="A258" s="1" t="s">
        <v>254</v>
      </c>
      <c r="B258" s="6">
        <f t="shared" ref="B258" si="243">C258/12.01%</f>
        <v>72289.336732267708</v>
      </c>
      <c r="C258" s="2">
        <v>8681.9493415453508</v>
      </c>
      <c r="D258" s="9">
        <v>9.1479682539682597E-2</v>
      </c>
      <c r="E258" s="2">
        <f t="shared" si="184"/>
        <v>4366.0367223295934</v>
      </c>
      <c r="F258" s="9">
        <v>2.2870311111111128E-2</v>
      </c>
      <c r="G258" s="2">
        <f t="shared" si="185"/>
        <v>-9395.2519623019853</v>
      </c>
      <c r="H258" s="7">
        <f t="shared" si="234"/>
        <v>-2.1518948556367032</v>
      </c>
      <c r="I258" s="9">
        <v>2.2870311111111128E-2</v>
      </c>
      <c r="J258" s="2">
        <v>-795.75816993464002</v>
      </c>
      <c r="K258" s="13">
        <v>8.4573076923076993</v>
      </c>
      <c r="L258" s="9">
        <f t="shared" si="235"/>
        <v>5.9461793650793689E-2</v>
      </c>
      <c r="M258" s="2">
        <f t="shared" si="236"/>
        <v>4366.0367223295934</v>
      </c>
      <c r="N258" s="16">
        <f t="shared" si="186"/>
        <v>8.4573076923076975</v>
      </c>
    </row>
    <row r="259" spans="1:14" ht="17">
      <c r="A259" s="1" t="s">
        <v>255</v>
      </c>
      <c r="B259" s="6">
        <f t="shared" ref="B259" si="244">C259/10.26%</f>
        <v>55327.810223328655</v>
      </c>
      <c r="C259" s="2">
        <v>5676.63332891352</v>
      </c>
      <c r="D259" s="9">
        <v>9.2396825396825394E-2</v>
      </c>
      <c r="E259" s="2">
        <f t="shared" ref="E259:E322" si="245">C259*L259*K259</f>
        <v>2892.4461629480634</v>
      </c>
      <c r="F259" s="9">
        <v>2.3743111111111114E-2</v>
      </c>
      <c r="G259" s="2">
        <f t="shared" ref="G259:G322" si="246">C259*L259*F259*J259</f>
        <v>-6471.3017039184288</v>
      </c>
      <c r="H259" s="7">
        <f t="shared" si="234"/>
        <v>-2.2373110299562824</v>
      </c>
      <c r="I259" s="9">
        <v>2.3743111111111114E-2</v>
      </c>
      <c r="J259" s="2">
        <v>-799.452700378396</v>
      </c>
      <c r="K259" s="13">
        <v>8.4840659340659403</v>
      </c>
      <c r="L259" s="9">
        <f t="shared" si="235"/>
        <v>6.0057936507936505E-2</v>
      </c>
      <c r="M259" s="2">
        <f t="shared" si="236"/>
        <v>2892.4461629480634</v>
      </c>
      <c r="N259" s="16">
        <f t="shared" ref="N259:N322" si="247">J259*I259/H259</f>
        <v>8.4840659340659403</v>
      </c>
    </row>
    <row r="260" spans="1:14" ht="17">
      <c r="A260" s="1" t="s">
        <v>256</v>
      </c>
      <c r="B260" s="6">
        <f t="shared" ref="B260" si="248">C260/11.36%</f>
        <v>29407.653671530017</v>
      </c>
      <c r="C260" s="2">
        <v>3340.7094570858098</v>
      </c>
      <c r="D260" s="9">
        <v>9.3313968253968302E-2</v>
      </c>
      <c r="E260" s="2">
        <f t="shared" si="245"/>
        <v>1724.5283580202017</v>
      </c>
      <c r="F260" s="9">
        <v>2.2991911111111128E-2</v>
      </c>
      <c r="G260" s="2">
        <f t="shared" si="246"/>
        <v>-3741.699964088602</v>
      </c>
      <c r="H260" s="7">
        <f t="shared" si="234"/>
        <v>-2.1696946569113886</v>
      </c>
      <c r="I260" s="9">
        <v>2.2991911111111128E-2</v>
      </c>
      <c r="J260" s="2">
        <v>-803.14723082215301</v>
      </c>
      <c r="K260" s="13">
        <v>8.5108241758241796</v>
      </c>
      <c r="L260" s="9">
        <f t="shared" si="235"/>
        <v>6.0654079365079397E-2</v>
      </c>
      <c r="M260" s="2">
        <f t="shared" si="236"/>
        <v>1724.5283580202017</v>
      </c>
      <c r="N260" s="16">
        <f t="shared" si="247"/>
        <v>8.5108241758241796</v>
      </c>
    </row>
    <row r="261" spans="1:14" ht="17">
      <c r="A261" s="1" t="s">
        <v>257</v>
      </c>
      <c r="B261" s="6">
        <f t="shared" ref="B261" si="249">C261/9.31%</f>
        <v>82267.277183631042</v>
      </c>
      <c r="C261" s="2">
        <v>7659.0835057960503</v>
      </c>
      <c r="D261" s="9">
        <v>8.3500000000000005E-2</v>
      </c>
      <c r="E261" s="2">
        <f t="shared" si="245"/>
        <v>3549.0453259748347</v>
      </c>
      <c r="F261" s="9">
        <v>2.0328000000000002E-2</v>
      </c>
      <c r="G261" s="2">
        <f t="shared" si="246"/>
        <v>-6818.0417691237581</v>
      </c>
      <c r="H261" s="7">
        <f t="shared" si="234"/>
        <v>-1.9210917705738264</v>
      </c>
      <c r="I261" s="9">
        <v>2.0328000000000002E-2</v>
      </c>
      <c r="J261" s="2">
        <v>-806.84176126590899</v>
      </c>
      <c r="K261" s="13">
        <v>8.5375824175824295</v>
      </c>
      <c r="L261" s="9">
        <f t="shared" si="235"/>
        <v>5.4275000000000004E-2</v>
      </c>
      <c r="M261" s="2">
        <f t="shared" si="236"/>
        <v>3549.0453259748347</v>
      </c>
      <c r="N261" s="16">
        <f t="shared" si="247"/>
        <v>8.5375824175824313</v>
      </c>
    </row>
    <row r="262" spans="1:14" ht="17">
      <c r="A262" s="1" t="s">
        <v>258</v>
      </c>
      <c r="B262" s="6">
        <f t="shared" ref="B262:B263" si="250">C262/12.1%</f>
        <v>77662.955778226373</v>
      </c>
      <c r="C262" s="2">
        <v>9397.21764916539</v>
      </c>
      <c r="D262" s="9">
        <v>8.9800000000000005E-2</v>
      </c>
      <c r="E262" s="2">
        <f t="shared" si="245"/>
        <v>4697.6744055334584</v>
      </c>
      <c r="F262" s="9">
        <v>2.2176000000000005E-2</v>
      </c>
      <c r="G262" s="2">
        <f t="shared" si="246"/>
        <v>-9859.2676604015323</v>
      </c>
      <c r="H262" s="7">
        <f t="shared" si="234"/>
        <v>-2.0987550028559152</v>
      </c>
      <c r="I262" s="9">
        <v>2.2176000000000005E-2</v>
      </c>
      <c r="J262" s="2">
        <v>-810.53629170966599</v>
      </c>
      <c r="K262" s="13">
        <v>8.5643406593406706</v>
      </c>
      <c r="L262" s="9">
        <f t="shared" si="235"/>
        <v>5.8370000000000005E-2</v>
      </c>
      <c r="M262" s="2">
        <f t="shared" si="236"/>
        <v>4697.6744055334584</v>
      </c>
      <c r="N262" s="16">
        <f t="shared" si="247"/>
        <v>8.5643406593406688</v>
      </c>
    </row>
    <row r="263" spans="1:14" ht="17">
      <c r="A263" s="1" t="s">
        <v>259</v>
      </c>
      <c r="B263" s="6">
        <f t="shared" si="250"/>
        <v>54919.670287892732</v>
      </c>
      <c r="C263" s="2">
        <v>6645.2801048350202</v>
      </c>
      <c r="D263" s="9">
        <v>8.8700000000000001E-2</v>
      </c>
      <c r="E263" s="2">
        <f t="shared" si="245"/>
        <v>3291.5388599371518</v>
      </c>
      <c r="F263" s="9">
        <v>2.3996000000000003E-2</v>
      </c>
      <c r="G263" s="2">
        <f t="shared" si="246"/>
        <v>-7485.7731077968447</v>
      </c>
      <c r="H263" s="7">
        <f t="shared" si="234"/>
        <v>-2.2742472218419372</v>
      </c>
      <c r="I263" s="9">
        <v>2.3996000000000003E-2</v>
      </c>
      <c r="J263" s="2">
        <v>-814.23082215342197</v>
      </c>
      <c r="K263" s="13">
        <v>8.5910989010989098</v>
      </c>
      <c r="L263" s="9">
        <f t="shared" si="235"/>
        <v>5.7655000000000005E-2</v>
      </c>
      <c r="M263" s="2">
        <f t="shared" si="236"/>
        <v>3291.5388599371518</v>
      </c>
      <c r="N263" s="16">
        <f t="shared" si="247"/>
        <v>8.5910989010989116</v>
      </c>
    </row>
    <row r="264" spans="1:14" ht="17">
      <c r="A264" s="1" t="s">
        <v>260</v>
      </c>
      <c r="B264" s="6">
        <f t="shared" ref="B264" si="251">C264/11.09%</f>
        <v>208377.22568493776</v>
      </c>
      <c r="C264" s="2">
        <v>23109.034328459598</v>
      </c>
      <c r="D264" s="9">
        <v>5.9900000000000002E-2</v>
      </c>
      <c r="E264" s="2">
        <f t="shared" si="245"/>
        <v>7753.9191323539371</v>
      </c>
      <c r="F264" s="9">
        <v>1.4196000000000002E-2</v>
      </c>
      <c r="G264" s="2">
        <f t="shared" si="246"/>
        <v>-10447.241578992587</v>
      </c>
      <c r="H264" s="7">
        <f t="shared" si="234"/>
        <v>-1.3473498240909576</v>
      </c>
      <c r="I264" s="9">
        <v>1.4196000000000002E-2</v>
      </c>
      <c r="J264" s="2">
        <v>-817.92535259718102</v>
      </c>
      <c r="K264" s="13">
        <v>8.6178571428571509</v>
      </c>
      <c r="L264" s="9">
        <f t="shared" si="235"/>
        <v>3.8935000000000004E-2</v>
      </c>
      <c r="M264" s="2">
        <f t="shared" si="236"/>
        <v>7753.9191323539371</v>
      </c>
      <c r="N264" s="16">
        <f t="shared" si="247"/>
        <v>8.6178571428571491</v>
      </c>
    </row>
    <row r="265" spans="1:14" ht="17">
      <c r="A265" s="1" t="s">
        <v>261</v>
      </c>
      <c r="B265" s="6">
        <f t="shared" ref="B265" si="252">C265/12.01%</f>
        <v>17893.473796363447</v>
      </c>
      <c r="C265" s="2">
        <v>2149.0062029432502</v>
      </c>
      <c r="D265" s="9">
        <v>8.1100000000000005E-2</v>
      </c>
      <c r="E265" s="2">
        <f t="shared" si="245"/>
        <v>979.30406078682245</v>
      </c>
      <c r="F265" s="9">
        <v>1.9964000000000003E-2</v>
      </c>
      <c r="G265" s="2">
        <f t="shared" si="246"/>
        <v>-1858.1911257182403</v>
      </c>
      <c r="H265" s="7">
        <f t="shared" si="234"/>
        <v>-1.8974608603432885</v>
      </c>
      <c r="I265" s="9">
        <v>1.9964000000000003E-2</v>
      </c>
      <c r="J265" s="2">
        <v>-821.61988304093097</v>
      </c>
      <c r="K265" s="13">
        <v>8.6446153846153901</v>
      </c>
      <c r="L265" s="9">
        <f t="shared" si="235"/>
        <v>5.2715000000000005E-2</v>
      </c>
      <c r="M265" s="2">
        <f t="shared" si="236"/>
        <v>979.30406078682245</v>
      </c>
      <c r="N265" s="16">
        <f t="shared" si="247"/>
        <v>8.6446153846153901</v>
      </c>
    </row>
    <row r="266" spans="1:14" ht="17">
      <c r="A266" s="1" t="s">
        <v>262</v>
      </c>
      <c r="B266" s="6">
        <f t="shared" ref="B266" si="253">C266/10.26%</f>
        <v>66443.667620570268</v>
      </c>
      <c r="C266" s="2">
        <v>6817.1202978705096</v>
      </c>
      <c r="D266" s="9">
        <v>7.4399999999999994E-2</v>
      </c>
      <c r="E266" s="2">
        <f t="shared" si="245"/>
        <v>2858.7432305981501</v>
      </c>
      <c r="F266" s="9">
        <v>1.8395999999999999E-2</v>
      </c>
      <c r="G266" s="2">
        <f t="shared" si="246"/>
        <v>-5005.299631542478</v>
      </c>
      <c r="H266" s="7">
        <f t="shared" si="234"/>
        <v>-1.7508741526587515</v>
      </c>
      <c r="I266" s="9">
        <v>1.8395999999999999E-2</v>
      </c>
      <c r="J266" s="2">
        <v>-825.31441348469104</v>
      </c>
      <c r="K266" s="13">
        <v>8.6713736263736294</v>
      </c>
      <c r="L266" s="9">
        <f t="shared" si="235"/>
        <v>4.836E-2</v>
      </c>
      <c r="M266" s="2">
        <f t="shared" si="236"/>
        <v>2858.7432305981501</v>
      </c>
      <c r="N266" s="16">
        <f t="shared" si="247"/>
        <v>8.6713736263736312</v>
      </c>
    </row>
    <row r="267" spans="1:14" ht="17">
      <c r="A267" s="1" t="s">
        <v>263</v>
      </c>
      <c r="B267" s="6">
        <f t="shared" ref="B267" si="254">C267/11.36%</f>
        <v>64388.412408497192</v>
      </c>
      <c r="C267" s="2">
        <v>7314.5236496052803</v>
      </c>
      <c r="D267" s="9">
        <v>8.0860000000000001E-2</v>
      </c>
      <c r="E267" s="2">
        <f t="shared" si="245"/>
        <v>3343.9450297680428</v>
      </c>
      <c r="F267" s="9">
        <v>1.9896800000000003E-2</v>
      </c>
      <c r="G267" s="2">
        <f t="shared" si="246"/>
        <v>-6341.260473285206</v>
      </c>
      <c r="H267" s="7">
        <f t="shared" si="234"/>
        <v>-1.8963411230851113</v>
      </c>
      <c r="I267" s="9">
        <v>1.9896800000000003E-2</v>
      </c>
      <c r="J267" s="2">
        <v>-829.008943928451</v>
      </c>
      <c r="K267" s="13">
        <v>8.6981318681318793</v>
      </c>
      <c r="L267" s="9">
        <f t="shared" si="235"/>
        <v>5.2559000000000002E-2</v>
      </c>
      <c r="M267" s="2">
        <f t="shared" si="236"/>
        <v>3343.9450297680428</v>
      </c>
      <c r="N267" s="16">
        <f t="shared" si="247"/>
        <v>8.6981318681318811</v>
      </c>
    </row>
    <row r="268" spans="1:14" ht="17">
      <c r="A268" s="1" t="s">
        <v>264</v>
      </c>
      <c r="B268" s="6">
        <f t="shared" ref="B268" si="255">C268/9.31%</f>
        <v>60301.479727531252</v>
      </c>
      <c r="C268" s="2">
        <v>5614.0677626331599</v>
      </c>
      <c r="D268" s="9">
        <v>7.0277142857142899E-2</v>
      </c>
      <c r="E268" s="2">
        <f t="shared" si="245"/>
        <v>2237.5104353995716</v>
      </c>
      <c r="F268" s="9">
        <v>1.7549600000000016E-2</v>
      </c>
      <c r="G268" s="2">
        <f t="shared" si="246"/>
        <v>-3747.6817400596328</v>
      </c>
      <c r="H268" s="7">
        <f t="shared" si="234"/>
        <v>-1.6749337481370794</v>
      </c>
      <c r="I268" s="9">
        <v>1.7549600000000016E-2</v>
      </c>
      <c r="J268" s="2">
        <v>-832.70347437220096</v>
      </c>
      <c r="K268" s="13">
        <v>8.7248901098901204</v>
      </c>
      <c r="L268" s="9">
        <f t="shared" si="235"/>
        <v>4.5680142857142884E-2</v>
      </c>
      <c r="M268" s="2">
        <f t="shared" si="236"/>
        <v>2237.5104353995716</v>
      </c>
      <c r="N268" s="16">
        <f t="shared" si="247"/>
        <v>8.7248901098901186</v>
      </c>
    </row>
    <row r="269" spans="1:14" ht="17">
      <c r="A269" s="1" t="s">
        <v>265</v>
      </c>
      <c r="B269" s="6">
        <f t="shared" ref="B269:B270" si="256">C269/12.1%</f>
        <v>38943.424497611159</v>
      </c>
      <c r="C269" s="2">
        <v>4712.15436421095</v>
      </c>
      <c r="D269" s="9">
        <v>8.9694285714285699E-2</v>
      </c>
      <c r="E269" s="2">
        <f t="shared" si="245"/>
        <v>2404.2935996224319</v>
      </c>
      <c r="F269" s="9">
        <v>2.1978399999999999E-2</v>
      </c>
      <c r="G269" s="2">
        <f t="shared" si="246"/>
        <v>-5050.1781968697742</v>
      </c>
      <c r="H269" s="7">
        <f t="shared" si="234"/>
        <v>-2.1004831513351157</v>
      </c>
      <c r="I269" s="9">
        <v>2.1978399999999999E-2</v>
      </c>
      <c r="J269" s="2">
        <v>-836.39800481596103</v>
      </c>
      <c r="K269" s="13">
        <v>8.7516483516483596</v>
      </c>
      <c r="L269" s="9">
        <f t="shared" si="235"/>
        <v>5.8301285714285708E-2</v>
      </c>
      <c r="M269" s="2">
        <f t="shared" si="236"/>
        <v>2404.2935996224319</v>
      </c>
      <c r="N269" s="16">
        <f t="shared" si="247"/>
        <v>8.7516483516483596</v>
      </c>
    </row>
    <row r="270" spans="1:14" ht="17">
      <c r="A270" s="1" t="s">
        <v>266</v>
      </c>
      <c r="B270" s="6">
        <f t="shared" si="256"/>
        <v>98881.509570146285</v>
      </c>
      <c r="C270" s="2">
        <v>11964.662657987699</v>
      </c>
      <c r="D270" s="9">
        <v>7.7722539682539699E-2</v>
      </c>
      <c r="E270" s="2">
        <f t="shared" si="245"/>
        <v>5306.1129511138561</v>
      </c>
      <c r="F270" s="9">
        <v>1.8710311111111121E-2</v>
      </c>
      <c r="G270" s="2">
        <f t="shared" si="246"/>
        <v>-9500.991571977851</v>
      </c>
      <c r="H270" s="7">
        <f t="shared" si="234"/>
        <v>-1.7905746936622238</v>
      </c>
      <c r="I270" s="9">
        <v>1.8710311111111121E-2</v>
      </c>
      <c r="J270" s="2">
        <v>-840.09253525972099</v>
      </c>
      <c r="K270" s="13">
        <v>8.7784065934066007</v>
      </c>
      <c r="L270" s="9">
        <f t="shared" si="235"/>
        <v>5.0519650793650804E-2</v>
      </c>
      <c r="M270" s="2">
        <f t="shared" si="236"/>
        <v>5306.1129511138561</v>
      </c>
      <c r="N270" s="16">
        <f t="shared" si="247"/>
        <v>8.7784065934066007</v>
      </c>
    </row>
    <row r="271" spans="1:14" ht="17">
      <c r="A271" s="1" t="s">
        <v>267</v>
      </c>
      <c r="B271" s="6">
        <f t="shared" ref="B271" si="257">C271/11.09%</f>
        <v>196971.7556618386</v>
      </c>
      <c r="C271" s="2">
        <v>21844.167702897899</v>
      </c>
      <c r="D271" s="9">
        <v>7.8639682539682607E-2</v>
      </c>
      <c r="E271" s="2">
        <f t="shared" si="245"/>
        <v>9831.6882870337722</v>
      </c>
      <c r="F271" s="9">
        <v>1.905111111111113E-2</v>
      </c>
      <c r="G271" s="2">
        <f t="shared" si="246"/>
        <v>-17949.145750679418</v>
      </c>
      <c r="H271" s="7">
        <f t="shared" si="234"/>
        <v>-1.8256422728892974</v>
      </c>
      <c r="I271" s="9">
        <v>1.905111111111113E-2</v>
      </c>
      <c r="J271" s="2">
        <v>-843.78706570347094</v>
      </c>
      <c r="K271" s="13">
        <v>8.8051648351648399</v>
      </c>
      <c r="L271" s="9">
        <f t="shared" si="235"/>
        <v>5.1115793650793696E-2</v>
      </c>
      <c r="M271" s="2">
        <f t="shared" si="236"/>
        <v>9831.6882870337722</v>
      </c>
      <c r="N271" s="16">
        <f t="shared" si="247"/>
        <v>8.8051648351648382</v>
      </c>
    </row>
    <row r="272" spans="1:14" ht="17">
      <c r="A272" s="1" t="s">
        <v>268</v>
      </c>
      <c r="B272" s="6">
        <f t="shared" ref="B272" si="258">C272/12.01%</f>
        <v>31627.496989196668</v>
      </c>
      <c r="C272" s="2">
        <v>3798.46238840252</v>
      </c>
      <c r="D272" s="9">
        <v>7.9556825396825404E-2</v>
      </c>
      <c r="E272" s="2">
        <f t="shared" si="245"/>
        <v>1734.817960927302</v>
      </c>
      <c r="F272" s="9">
        <v>2.3718311111111123E-2</v>
      </c>
      <c r="G272" s="2">
        <f t="shared" si="246"/>
        <v>-3948.3229591327636</v>
      </c>
      <c r="H272" s="7">
        <f t="shared" si="234"/>
        <v>-2.2759292606252992</v>
      </c>
      <c r="I272" s="9">
        <v>2.3718311111111123E-2</v>
      </c>
      <c r="J272" s="2">
        <v>-847.48159614723102</v>
      </c>
      <c r="K272" s="13">
        <v>8.8319230769230792</v>
      </c>
      <c r="L272" s="9">
        <f t="shared" si="235"/>
        <v>5.1711936507936512E-2</v>
      </c>
      <c r="M272" s="2">
        <f t="shared" si="236"/>
        <v>1734.817960927302</v>
      </c>
      <c r="N272" s="16">
        <f t="shared" si="247"/>
        <v>8.8319230769230774</v>
      </c>
    </row>
    <row r="273" spans="1:14" ht="17">
      <c r="A273" s="1" t="s">
        <v>269</v>
      </c>
      <c r="B273" s="6">
        <f t="shared" ref="B273" si="259">C273/10.26%</f>
        <v>38688.366688587914</v>
      </c>
      <c r="C273" s="2">
        <v>3969.4264222491202</v>
      </c>
      <c r="D273" s="9">
        <v>8.0473968253968298E-2</v>
      </c>
      <c r="E273" s="2">
        <f t="shared" si="245"/>
        <v>1839.3552189799941</v>
      </c>
      <c r="F273" s="9">
        <v>1.9956711111111126E-2</v>
      </c>
      <c r="G273" s="2">
        <f t="shared" si="246"/>
        <v>-3526.9957396262075</v>
      </c>
      <c r="H273" s="7">
        <f t="shared" si="234"/>
        <v>-1.9175174556995502</v>
      </c>
      <c r="I273" s="9">
        <v>1.9956711111111126E-2</v>
      </c>
      <c r="J273" s="2">
        <v>-851.17612659099098</v>
      </c>
      <c r="K273" s="13">
        <v>8.8586813186813291</v>
      </c>
      <c r="L273" s="9">
        <f t="shared" si="235"/>
        <v>5.2308079365079398E-2</v>
      </c>
      <c r="M273" s="2">
        <f t="shared" si="236"/>
        <v>1839.3552189799941</v>
      </c>
      <c r="N273" s="16">
        <f t="shared" si="247"/>
        <v>8.8586813186813309</v>
      </c>
    </row>
    <row r="274" spans="1:14" ht="17">
      <c r="A274" s="1" t="s">
        <v>270</v>
      </c>
      <c r="B274" s="6">
        <f t="shared" ref="B274" si="260">C274/11.36%</f>
        <v>209950.12743291637</v>
      </c>
      <c r="C274" s="2">
        <v>23850.334476379299</v>
      </c>
      <c r="D274" s="9">
        <v>8.1391111111111095E-2</v>
      </c>
      <c r="E274" s="2">
        <f t="shared" si="245"/>
        <v>11211.500096528665</v>
      </c>
      <c r="F274" s="9">
        <v>2.0045511111111112E-2</v>
      </c>
      <c r="G274" s="2">
        <f t="shared" si="246"/>
        <v>-21622.323089953599</v>
      </c>
      <c r="H274" s="7">
        <f t="shared" si="234"/>
        <v>-1.928584302170979</v>
      </c>
      <c r="I274" s="9">
        <v>2.0045511111111112E-2</v>
      </c>
      <c r="J274" s="2">
        <v>-854.87065703474104</v>
      </c>
      <c r="K274" s="13">
        <v>8.8854395604395702</v>
      </c>
      <c r="L274" s="9">
        <f t="shared" si="235"/>
        <v>5.2904222222222214E-2</v>
      </c>
      <c r="M274" s="2">
        <f t="shared" si="236"/>
        <v>11211.500096528665</v>
      </c>
      <c r="N274" s="16">
        <f t="shared" si="247"/>
        <v>8.8854395604395702</v>
      </c>
    </row>
    <row r="275" spans="1:14" ht="17">
      <c r="A275" s="1" t="s">
        <v>271</v>
      </c>
      <c r="B275" s="6">
        <f t="shared" ref="B275" si="261">C275/9.31%</f>
        <v>48259.25949053964</v>
      </c>
      <c r="C275" s="2">
        <v>4492.9370585692404</v>
      </c>
      <c r="D275" s="9">
        <v>8.2308253968254003E-2</v>
      </c>
      <c r="E275" s="2">
        <f t="shared" si="245"/>
        <v>2142.2586106528847</v>
      </c>
      <c r="F275" s="9">
        <v>2.0610311111111123E-2</v>
      </c>
      <c r="G275" s="2">
        <f t="shared" si="246"/>
        <v>-4253.4849717191901</v>
      </c>
      <c r="H275" s="7">
        <f t="shared" si="234"/>
        <v>-1.9855142374350772</v>
      </c>
      <c r="I275" s="9">
        <v>2.0610311111111123E-2</v>
      </c>
      <c r="J275" s="2">
        <v>-858.565187478501</v>
      </c>
      <c r="K275" s="13">
        <v>8.9121978021978094</v>
      </c>
      <c r="L275" s="9">
        <f t="shared" si="235"/>
        <v>5.3500365079365106E-2</v>
      </c>
      <c r="M275" s="2">
        <f t="shared" si="236"/>
        <v>2142.2586106528847</v>
      </c>
      <c r="N275" s="16">
        <f t="shared" si="247"/>
        <v>8.9121978021978094</v>
      </c>
    </row>
    <row r="276" spans="1:14" ht="17">
      <c r="A276" s="1" t="s">
        <v>272</v>
      </c>
      <c r="B276" s="6">
        <f t="shared" ref="B276:B277" si="262">C276/12.1%</f>
        <v>15265.478600350414</v>
      </c>
      <c r="C276" s="2">
        <v>1847.1229106424</v>
      </c>
      <c r="D276" s="9">
        <v>8.32253968253968E-2</v>
      </c>
      <c r="E276" s="2">
        <f t="shared" si="245"/>
        <v>893.20640369118973</v>
      </c>
      <c r="F276" s="9">
        <v>2.3718311111111123E-2</v>
      </c>
      <c r="G276" s="2">
        <f t="shared" si="246"/>
        <v>-2043.5576097265809</v>
      </c>
      <c r="H276" s="7">
        <f t="shared" si="234"/>
        <v>-2.2878895642502632</v>
      </c>
      <c r="I276" s="9">
        <v>2.3718311111111123E-2</v>
      </c>
      <c r="J276" s="2">
        <v>-862.25971792225096</v>
      </c>
      <c r="K276" s="13">
        <v>8.9389560439560505</v>
      </c>
      <c r="L276" s="9">
        <f t="shared" si="235"/>
        <v>5.4096507936507922E-2</v>
      </c>
      <c r="M276" s="2">
        <f t="shared" si="236"/>
        <v>893.20640369118973</v>
      </c>
      <c r="N276" s="16">
        <f t="shared" si="247"/>
        <v>8.9389560439560505</v>
      </c>
    </row>
    <row r="277" spans="1:14" ht="17">
      <c r="A277" s="1" t="s">
        <v>273</v>
      </c>
      <c r="B277" s="6">
        <f t="shared" si="262"/>
        <v>29541.289552960745</v>
      </c>
      <c r="C277" s="2">
        <v>3574.4960359082502</v>
      </c>
      <c r="D277" s="9">
        <v>8.4142539682539694E-2</v>
      </c>
      <c r="E277" s="2">
        <f t="shared" si="245"/>
        <v>1752.7851597785072</v>
      </c>
      <c r="F277" s="9">
        <v>2.1431911111111118E-2</v>
      </c>
      <c r="G277" s="2">
        <f t="shared" si="246"/>
        <v>-3628.2703452987635</v>
      </c>
      <c r="H277" s="7">
        <f t="shared" si="234"/>
        <v>-2.0700028894341242</v>
      </c>
      <c r="I277" s="9">
        <v>2.1431911111111118E-2</v>
      </c>
      <c r="J277" s="2">
        <v>-865.95424836601103</v>
      </c>
      <c r="K277" s="13">
        <v>8.9657142857142897</v>
      </c>
      <c r="L277" s="9">
        <f t="shared" si="235"/>
        <v>5.46926507936508E-2</v>
      </c>
      <c r="M277" s="2">
        <f t="shared" si="236"/>
        <v>1752.7851597785072</v>
      </c>
      <c r="N277" s="16">
        <f t="shared" si="247"/>
        <v>8.9657142857142915</v>
      </c>
    </row>
    <row r="278" spans="1:14" ht="17">
      <c r="A278" s="1" t="s">
        <v>274</v>
      </c>
      <c r="B278" s="6">
        <f t="shared" ref="B278" si="263">C278/11.09%</f>
        <v>20007.052121444995</v>
      </c>
      <c r="C278" s="2">
        <v>2218.78208026825</v>
      </c>
      <c r="D278" s="9">
        <v>8.5059682539682602E-2</v>
      </c>
      <c r="E278" s="2">
        <f t="shared" si="245"/>
        <v>1103.1406377849144</v>
      </c>
      <c r="F278" s="9">
        <v>2.0680711111111132E-2</v>
      </c>
      <c r="G278" s="2">
        <f t="shared" si="246"/>
        <v>-2206.2825155258211</v>
      </c>
      <c r="H278" s="7">
        <f t="shared" si="234"/>
        <v>-2.0000011240234925</v>
      </c>
      <c r="I278" s="9">
        <v>2.0680711111111132E-2</v>
      </c>
      <c r="J278" s="2">
        <v>-869.64877880977099</v>
      </c>
      <c r="K278" s="13">
        <v>8.9924725274725397</v>
      </c>
      <c r="L278" s="9">
        <f t="shared" si="235"/>
        <v>5.5288793650793693E-2</v>
      </c>
      <c r="M278" s="2">
        <f t="shared" si="236"/>
        <v>1103.1406377849144</v>
      </c>
      <c r="N278" s="16">
        <f t="shared" si="247"/>
        <v>8.9924725274725397</v>
      </c>
    </row>
    <row r="279" spans="1:14" ht="17">
      <c r="A279" s="1" t="s">
        <v>275</v>
      </c>
      <c r="B279" s="6">
        <f t="shared" ref="B279" si="264">C279/12.01%</f>
        <v>100327.86401597003</v>
      </c>
      <c r="C279" s="2">
        <v>12049.376468318</v>
      </c>
      <c r="D279" s="9">
        <v>8.5976825396825399E-2</v>
      </c>
      <c r="E279" s="2">
        <f t="shared" si="245"/>
        <v>6073.3573392390535</v>
      </c>
      <c r="F279" s="9">
        <v>2.3718311111111123E-2</v>
      </c>
      <c r="G279" s="2">
        <f t="shared" si="246"/>
        <v>-13948.518868915942</v>
      </c>
      <c r="H279" s="7">
        <f t="shared" si="234"/>
        <v>-2.2966735019519842</v>
      </c>
      <c r="I279" s="9">
        <v>2.3718311111111123E-2</v>
      </c>
      <c r="J279" s="2">
        <v>-873.34330925352106</v>
      </c>
      <c r="K279" s="13">
        <v>9.0192307692307807</v>
      </c>
      <c r="L279" s="9">
        <f t="shared" si="235"/>
        <v>5.5884936507936508E-2</v>
      </c>
      <c r="M279" s="2">
        <f t="shared" si="236"/>
        <v>6073.3573392390535</v>
      </c>
      <c r="N279" s="16">
        <f t="shared" si="247"/>
        <v>9.0192307692307807</v>
      </c>
    </row>
    <row r="280" spans="1:14" ht="17">
      <c r="A280" s="1" t="s">
        <v>276</v>
      </c>
      <c r="B280" s="6">
        <f t="shared" ref="B280" si="265">C280/10.26%</f>
        <v>93461.445476203502</v>
      </c>
      <c r="C280" s="2">
        <v>9589.1443058584791</v>
      </c>
      <c r="D280" s="9">
        <v>8.6893968253968307E-2</v>
      </c>
      <c r="E280" s="2">
        <f t="shared" si="245"/>
        <v>4899.3548736826024</v>
      </c>
      <c r="F280" s="9">
        <v>2.1362311111111126E-2</v>
      </c>
      <c r="G280" s="2">
        <f t="shared" si="246"/>
        <v>-10147.274500238314</v>
      </c>
      <c r="H280" s="7">
        <f t="shared" si="234"/>
        <v>-2.0711450306948498</v>
      </c>
      <c r="I280" s="9">
        <v>2.1362311111111126E-2</v>
      </c>
      <c r="J280" s="2">
        <v>-877.03783969728102</v>
      </c>
      <c r="K280" s="13">
        <v>9.04598901098902</v>
      </c>
      <c r="L280" s="9">
        <f t="shared" si="235"/>
        <v>5.6481079365079401E-2</v>
      </c>
      <c r="M280" s="2">
        <f t="shared" si="236"/>
        <v>4899.3548736826024</v>
      </c>
      <c r="N280" s="16">
        <f t="shared" si="247"/>
        <v>9.0459890109890182</v>
      </c>
    </row>
    <row r="281" spans="1:14" ht="17">
      <c r="A281" s="1" t="s">
        <v>277</v>
      </c>
      <c r="B281" s="6">
        <f t="shared" ref="B281" si="266">C281/11.36%</f>
        <v>154131.04394452643</v>
      </c>
      <c r="C281" s="2">
        <v>17509.2865920982</v>
      </c>
      <c r="D281" s="9">
        <v>8.7811111111111104E-2</v>
      </c>
      <c r="E281" s="2">
        <f t="shared" si="245"/>
        <v>9067.1352302632295</v>
      </c>
      <c r="F281" s="9">
        <v>2.3747111111111111E-2</v>
      </c>
      <c r="G281" s="2">
        <f t="shared" si="246"/>
        <v>-20901.912400628327</v>
      </c>
      <c r="H281" s="7">
        <f t="shared" si="234"/>
        <v>-2.3052388510611768</v>
      </c>
      <c r="I281" s="9">
        <v>2.3747111111111111E-2</v>
      </c>
      <c r="J281" s="2">
        <v>-880.73237014104097</v>
      </c>
      <c r="K281" s="13">
        <v>9.0727472527472592</v>
      </c>
      <c r="L281" s="9">
        <f t="shared" si="235"/>
        <v>5.7077222222222217E-2</v>
      </c>
      <c r="M281" s="2">
        <f t="shared" si="236"/>
        <v>9067.1352302632295</v>
      </c>
      <c r="N281" s="16">
        <f t="shared" si="247"/>
        <v>9.0727472527472592</v>
      </c>
    </row>
    <row r="282" spans="1:14" ht="17">
      <c r="A282" s="1" t="s">
        <v>278</v>
      </c>
      <c r="B282" s="6">
        <f t="shared" ref="B282" si="267">C282/9.31%</f>
        <v>134845.76161767132</v>
      </c>
      <c r="C282" s="2">
        <v>12554.1404066052</v>
      </c>
      <c r="D282" s="9">
        <v>8.8728253968253998E-2</v>
      </c>
      <c r="E282" s="2">
        <f t="shared" si="245"/>
        <v>6588.4016171202093</v>
      </c>
      <c r="F282" s="9">
        <v>2.2267911111111122E-2</v>
      </c>
      <c r="G282" s="2">
        <f t="shared" si="246"/>
        <v>-14259.480253065656</v>
      </c>
      <c r="H282" s="7">
        <f t="shared" si="234"/>
        <v>-2.1643307560382872</v>
      </c>
      <c r="I282" s="9">
        <v>2.2267911111111122E-2</v>
      </c>
      <c r="J282" s="2">
        <v>-884.42690058479104</v>
      </c>
      <c r="K282" s="13">
        <v>9.0995054945055003</v>
      </c>
      <c r="L282" s="9">
        <f t="shared" si="235"/>
        <v>5.7673365079365102E-2</v>
      </c>
      <c r="M282" s="2">
        <f t="shared" si="236"/>
        <v>6588.4016171202093</v>
      </c>
      <c r="N282" s="16">
        <f t="shared" si="247"/>
        <v>9.0995054945055003</v>
      </c>
    </row>
    <row r="283" spans="1:14" ht="17">
      <c r="A283" s="1" t="s">
        <v>279</v>
      </c>
      <c r="B283" s="6">
        <f t="shared" ref="B283:B284" si="268">C283/12.1%</f>
        <v>39252.774784176945</v>
      </c>
      <c r="C283" s="2">
        <v>4749.5857488854099</v>
      </c>
      <c r="D283" s="9">
        <v>8.9645396825396795E-2</v>
      </c>
      <c r="E283" s="2">
        <f t="shared" si="245"/>
        <v>2525.7484700938112</v>
      </c>
      <c r="F283" s="9">
        <v>2.2356711111111108E-2</v>
      </c>
      <c r="G283" s="2">
        <f t="shared" si="246"/>
        <v>-5495.122121966434</v>
      </c>
      <c r="H283" s="7">
        <f t="shared" si="234"/>
        <v>-2.1756410771031107</v>
      </c>
      <c r="I283" s="9">
        <v>2.2356711111111108E-2</v>
      </c>
      <c r="J283" s="2">
        <v>-888.121431028551</v>
      </c>
      <c r="K283" s="13">
        <v>9.1262637362637395</v>
      </c>
      <c r="L283" s="9">
        <f t="shared" si="235"/>
        <v>5.8269507936507918E-2</v>
      </c>
      <c r="M283" s="2">
        <f t="shared" si="236"/>
        <v>2525.7484700938112</v>
      </c>
      <c r="N283" s="16">
        <f t="shared" si="247"/>
        <v>9.1262637362637395</v>
      </c>
    </row>
    <row r="284" spans="1:14" ht="17">
      <c r="A284" s="1" t="s">
        <v>280</v>
      </c>
      <c r="B284" s="6">
        <f t="shared" si="268"/>
        <v>107907.23220471157</v>
      </c>
      <c r="C284" s="2">
        <v>13056.775096770099</v>
      </c>
      <c r="D284" s="9">
        <v>9.0562539682539703E-2</v>
      </c>
      <c r="E284" s="2">
        <f t="shared" si="245"/>
        <v>7034.9720834402051</v>
      </c>
      <c r="F284" s="9">
        <v>2.3718311111111123E-2</v>
      </c>
      <c r="G284" s="2">
        <f t="shared" si="246"/>
        <v>-16257.616527887585</v>
      </c>
      <c r="H284" s="7">
        <f t="shared" si="234"/>
        <v>-2.310971008137586</v>
      </c>
      <c r="I284" s="9">
        <v>2.3718311111111123E-2</v>
      </c>
      <c r="J284" s="2">
        <v>-891.81596147231096</v>
      </c>
      <c r="K284" s="13">
        <v>9.1530219780219895</v>
      </c>
      <c r="L284" s="9">
        <f t="shared" si="235"/>
        <v>5.886565079365081E-2</v>
      </c>
      <c r="M284" s="2">
        <f t="shared" si="236"/>
        <v>7034.9720834402051</v>
      </c>
      <c r="N284" s="16">
        <f t="shared" si="247"/>
        <v>9.1530219780219912</v>
      </c>
    </row>
    <row r="285" spans="1:14" ht="17">
      <c r="A285" s="1" t="s">
        <v>281</v>
      </c>
      <c r="B285" s="6">
        <f t="shared" ref="B285" si="269">C285/11.09%</f>
        <v>78029.224570112987</v>
      </c>
      <c r="C285" s="2">
        <v>8653.4410048255304</v>
      </c>
      <c r="D285" s="9">
        <v>9.1479682539682597E-2</v>
      </c>
      <c r="E285" s="2">
        <f t="shared" si="245"/>
        <v>4723.447865076535</v>
      </c>
      <c r="F285" s="9">
        <v>2.2870311111111128E-2</v>
      </c>
      <c r="G285" s="2">
        <f t="shared" si="246"/>
        <v>-10538.276605061121</v>
      </c>
      <c r="H285" s="7">
        <f t="shared" si="234"/>
        <v>-2.2310559798864991</v>
      </c>
      <c r="I285" s="9">
        <v>2.2870311111111128E-2</v>
      </c>
      <c r="J285" s="2">
        <v>-895.51049191606103</v>
      </c>
      <c r="K285" s="13">
        <v>9.1797802197802305</v>
      </c>
      <c r="L285" s="9">
        <f t="shared" si="235"/>
        <v>5.9461793650793689E-2</v>
      </c>
      <c r="M285" s="2">
        <f t="shared" si="236"/>
        <v>4723.447865076535</v>
      </c>
      <c r="N285" s="16">
        <f t="shared" si="247"/>
        <v>9.1797802197802305</v>
      </c>
    </row>
    <row r="286" spans="1:14" ht="17">
      <c r="A286" s="1" t="s">
        <v>282</v>
      </c>
      <c r="B286" s="6">
        <f t="shared" ref="B286" si="270">C286/12.01%</f>
        <v>81354.508540045965</v>
      </c>
      <c r="C286" s="2">
        <v>9770.6764756595203</v>
      </c>
      <c r="D286" s="9">
        <v>9.2396825396825394E-2</v>
      </c>
      <c r="E286" s="2">
        <f t="shared" si="245"/>
        <v>5402.4581530410933</v>
      </c>
      <c r="F286" s="9">
        <v>2.3743111111111114E-2</v>
      </c>
      <c r="G286" s="2">
        <f t="shared" si="246"/>
        <v>-12528.278196538464</v>
      </c>
      <c r="H286" s="7">
        <f t="shared" si="234"/>
        <v>-2.3189958795860699</v>
      </c>
      <c r="I286" s="9">
        <v>2.3743111111111114E-2</v>
      </c>
      <c r="J286" s="2">
        <v>-899.20502235982099</v>
      </c>
      <c r="K286" s="13">
        <v>9.2065384615384698</v>
      </c>
      <c r="L286" s="9">
        <f t="shared" si="235"/>
        <v>6.0057936507936505E-2</v>
      </c>
      <c r="M286" s="2">
        <f t="shared" si="236"/>
        <v>5402.4581530410933</v>
      </c>
      <c r="N286" s="16">
        <f t="shared" si="247"/>
        <v>9.206538461538468</v>
      </c>
    </row>
    <row r="287" spans="1:14" ht="17">
      <c r="A287" s="1" t="s">
        <v>283</v>
      </c>
      <c r="B287" s="6">
        <f t="shared" ref="B287" si="271">C287/10.26%</f>
        <v>29144.318438983722</v>
      </c>
      <c r="C287" s="2">
        <v>2990.2070718397299</v>
      </c>
      <c r="D287" s="9">
        <v>9.3313968253968302E-2</v>
      </c>
      <c r="E287" s="2">
        <f t="shared" si="245"/>
        <v>1674.6269299337239</v>
      </c>
      <c r="F287" s="9">
        <v>2.2991911111111128E-2</v>
      </c>
      <c r="G287" s="2">
        <f t="shared" si="246"/>
        <v>-3765.093703532651</v>
      </c>
      <c r="H287" s="7">
        <f t="shared" si="234"/>
        <v>-2.2483179006811151</v>
      </c>
      <c r="I287" s="9">
        <v>2.2991911111111128E-2</v>
      </c>
      <c r="J287" s="2">
        <v>-902.89955280358095</v>
      </c>
      <c r="K287" s="13">
        <v>9.2332967032967108</v>
      </c>
      <c r="L287" s="9">
        <f t="shared" si="235"/>
        <v>6.0654079365079397E-2</v>
      </c>
      <c r="M287" s="2">
        <f t="shared" si="236"/>
        <v>1674.6269299337239</v>
      </c>
      <c r="N287" s="16">
        <f t="shared" si="247"/>
        <v>9.2332967032967108</v>
      </c>
    </row>
    <row r="288" spans="1:14" ht="17">
      <c r="A288" s="1" t="s">
        <v>284</v>
      </c>
      <c r="B288" s="6">
        <f t="shared" ref="B288" si="272">C288/11.36%</f>
        <v>25973.501503749649</v>
      </c>
      <c r="C288" s="2">
        <v>2950.5897708259599</v>
      </c>
      <c r="D288" s="9">
        <v>9.4231111111111196E-2</v>
      </c>
      <c r="E288" s="2">
        <f t="shared" si="245"/>
        <v>1673.5167548317258</v>
      </c>
      <c r="F288" s="9">
        <v>2.333271111111114E-2</v>
      </c>
      <c r="G288" s="2">
        <f t="shared" si="246"/>
        <v>-3822.914503674107</v>
      </c>
      <c r="H288" s="7">
        <f t="shared" si="234"/>
        <v>-2.2843598623298549</v>
      </c>
      <c r="I288" s="9">
        <v>2.333271111111114E-2</v>
      </c>
      <c r="J288" s="2">
        <v>-906.59408324733101</v>
      </c>
      <c r="K288" s="13">
        <v>9.2600549450549501</v>
      </c>
      <c r="L288" s="9">
        <f t="shared" si="235"/>
        <v>6.1250222222222282E-2</v>
      </c>
      <c r="M288" s="2">
        <f t="shared" si="236"/>
        <v>1673.5167548317258</v>
      </c>
      <c r="N288" s="16">
        <f t="shared" si="247"/>
        <v>9.2600549450549501</v>
      </c>
    </row>
    <row r="289" spans="1:14" ht="17">
      <c r="A289" s="1" t="s">
        <v>285</v>
      </c>
      <c r="B289" s="6">
        <f t="shared" ref="B289" si="273">C289/9.31%</f>
        <v>133236.07100150269</v>
      </c>
      <c r="C289" s="2">
        <v>12404.2782102399</v>
      </c>
      <c r="D289" s="9">
        <v>9.5148253968254007E-2</v>
      </c>
      <c r="E289" s="2">
        <f t="shared" si="245"/>
        <v>7124.4671349914852</v>
      </c>
      <c r="F289" s="9">
        <v>2.3718311111111123E-2</v>
      </c>
      <c r="G289" s="2">
        <f t="shared" si="246"/>
        <v>-16563.36414115076</v>
      </c>
      <c r="H289" s="7">
        <f t="shared" si="234"/>
        <v>-2.3248565580154867</v>
      </c>
      <c r="I289" s="9">
        <v>2.3718311111111123E-2</v>
      </c>
      <c r="J289" s="2">
        <v>-910.28861369109097</v>
      </c>
      <c r="K289" s="13">
        <v>9.2868131868131893</v>
      </c>
      <c r="L289" s="9">
        <f t="shared" si="235"/>
        <v>6.1846365079365105E-2</v>
      </c>
      <c r="M289" s="2">
        <f t="shared" si="236"/>
        <v>7124.4671349914852</v>
      </c>
      <c r="N289" s="16">
        <f t="shared" si="247"/>
        <v>9.2868131868131893</v>
      </c>
    </row>
    <row r="290" spans="1:14" ht="17">
      <c r="A290" s="1" t="s">
        <v>286</v>
      </c>
      <c r="B290" s="6">
        <f t="shared" ref="B290:B291" si="274">C290/12.1%</f>
        <v>106997.91720106942</v>
      </c>
      <c r="C290" s="2">
        <v>12946.747981329399</v>
      </c>
      <c r="D290" s="9">
        <v>9.6065396825396901E-2</v>
      </c>
      <c r="E290" s="2">
        <f t="shared" si="245"/>
        <v>7529.3464611565496</v>
      </c>
      <c r="F290" s="9">
        <v>2.6058311111111135E-2</v>
      </c>
      <c r="G290" s="2">
        <f t="shared" si="246"/>
        <v>-19254.200201177311</v>
      </c>
      <c r="H290" s="7">
        <f t="shared" si="234"/>
        <v>-2.5572206433199196</v>
      </c>
      <c r="I290" s="9">
        <v>2.6058311111111135E-2</v>
      </c>
      <c r="J290" s="2">
        <v>-913.98314413485105</v>
      </c>
      <c r="K290" s="13">
        <v>9.3135714285714393</v>
      </c>
      <c r="L290" s="9">
        <f t="shared" si="235"/>
        <v>6.244250793650799E-2</v>
      </c>
      <c r="M290" s="2">
        <f t="shared" si="236"/>
        <v>7529.3464611565496</v>
      </c>
      <c r="N290" s="16">
        <f t="shared" si="247"/>
        <v>9.3135714285714393</v>
      </c>
    </row>
    <row r="291" spans="1:14" ht="17">
      <c r="A291" s="1" t="s">
        <v>287</v>
      </c>
      <c r="B291" s="6">
        <f t="shared" si="274"/>
        <v>49145.479363921651</v>
      </c>
      <c r="C291" s="2">
        <v>5946.60300303452</v>
      </c>
      <c r="D291" s="9">
        <v>6.8777142857142898E-2</v>
      </c>
      <c r="E291" s="2">
        <f t="shared" si="245"/>
        <v>2483.0681421809281</v>
      </c>
      <c r="F291" s="9">
        <v>1.6681600000000012E-2</v>
      </c>
      <c r="G291" s="2">
        <f t="shared" si="246"/>
        <v>-4069.6241549437573</v>
      </c>
      <c r="H291" s="7">
        <f t="shared" si="234"/>
        <v>-1.6389498482990987</v>
      </c>
      <c r="I291" s="9">
        <v>1.6681600000000012E-2</v>
      </c>
      <c r="J291" s="2">
        <v>-917.677674578601</v>
      </c>
      <c r="K291" s="13">
        <v>9.3403296703296803</v>
      </c>
      <c r="L291" s="9">
        <f t="shared" si="235"/>
        <v>4.4705142857142888E-2</v>
      </c>
      <c r="M291" s="2">
        <f t="shared" si="236"/>
        <v>2483.0681421809281</v>
      </c>
      <c r="N291" s="16">
        <f t="shared" si="247"/>
        <v>9.3403296703296803</v>
      </c>
    </row>
    <row r="292" spans="1:14" ht="17">
      <c r="A292" s="1" t="s">
        <v>288</v>
      </c>
      <c r="B292" s="6">
        <f t="shared" ref="B292" si="275">C292/11.09%</f>
        <v>60366.863515183235</v>
      </c>
      <c r="C292" s="2">
        <v>6694.6851638338203</v>
      </c>
      <c r="D292" s="9">
        <v>6.9602857142857105E-2</v>
      </c>
      <c r="E292" s="2">
        <f t="shared" si="245"/>
        <v>2837.1034912555415</v>
      </c>
      <c r="F292" s="9">
        <v>1.674479999999999E-2</v>
      </c>
      <c r="G292" s="2">
        <f t="shared" si="246"/>
        <v>-4672.8910289081005</v>
      </c>
      <c r="H292" s="7">
        <f t="shared" si="234"/>
        <v>-1.6470640014757245</v>
      </c>
      <c r="I292" s="9">
        <v>1.674479999999999E-2</v>
      </c>
      <c r="J292" s="2">
        <v>-921.37220502236096</v>
      </c>
      <c r="K292" s="13">
        <v>9.3670879120879196</v>
      </c>
      <c r="L292" s="9">
        <f t="shared" si="235"/>
        <v>4.5241857142857118E-2</v>
      </c>
      <c r="M292" s="2">
        <f t="shared" si="236"/>
        <v>2837.1034912555415</v>
      </c>
      <c r="N292" s="16">
        <f t="shared" si="247"/>
        <v>9.3670879120879214</v>
      </c>
    </row>
    <row r="293" spans="1:14" ht="17">
      <c r="A293" s="1" t="s">
        <v>289</v>
      </c>
      <c r="B293" s="6">
        <f t="shared" ref="B293" si="276">C293/12.01%</f>
        <v>162205.18281957452</v>
      </c>
      <c r="C293" s="2">
        <v>19480.8424566309</v>
      </c>
      <c r="D293" s="9">
        <v>7.0428571428571396E-2</v>
      </c>
      <c r="E293" s="2">
        <f t="shared" si="245"/>
        <v>8377.4802645446907</v>
      </c>
      <c r="F293" s="9">
        <v>1.7283999999999994E-2</v>
      </c>
      <c r="G293" s="2">
        <f t="shared" si="246"/>
        <v>-14258.941660843377</v>
      </c>
      <c r="H293" s="7">
        <f t="shared" si="234"/>
        <v>-1.7020561327002228</v>
      </c>
      <c r="I293" s="9">
        <v>1.7283999999999994E-2</v>
      </c>
      <c r="J293" s="2">
        <v>-925.06673546611103</v>
      </c>
      <c r="K293" s="13">
        <v>9.3938461538461606</v>
      </c>
      <c r="L293" s="9">
        <f t="shared" si="235"/>
        <v>4.5778571428571412E-2</v>
      </c>
      <c r="M293" s="2">
        <f t="shared" si="236"/>
        <v>8377.4802645446907</v>
      </c>
      <c r="N293" s="16">
        <f t="shared" si="247"/>
        <v>9.3938461538461588</v>
      </c>
    </row>
    <row r="294" spans="1:14" ht="17">
      <c r="A294" s="1" t="s">
        <v>290</v>
      </c>
      <c r="B294" s="6">
        <f t="shared" ref="B294" si="277">C294/10.26%</f>
        <v>66848.744262633423</v>
      </c>
      <c r="C294" s="2">
        <v>6858.6811613461896</v>
      </c>
      <c r="D294" s="9">
        <v>8.7811111111111104E-2</v>
      </c>
      <c r="E294" s="2">
        <f t="shared" si="245"/>
        <v>3687.9261015208672</v>
      </c>
      <c r="F294" s="9">
        <v>2.1843111111111112E-2</v>
      </c>
      <c r="G294" s="2">
        <f t="shared" si="246"/>
        <v>-7941.8564563953596</v>
      </c>
      <c r="H294" s="7">
        <f t="shared" si="234"/>
        <v>-2.1534749443922454</v>
      </c>
      <c r="I294" s="9">
        <v>2.1843111111111112E-2</v>
      </c>
      <c r="J294" s="2">
        <v>-928.76126590987099</v>
      </c>
      <c r="K294" s="13">
        <v>9.4206043956043999</v>
      </c>
      <c r="L294" s="9">
        <f t="shared" si="235"/>
        <v>5.7077222222222217E-2</v>
      </c>
      <c r="M294" s="2">
        <f t="shared" si="236"/>
        <v>3687.9261015208672</v>
      </c>
      <c r="N294" s="16">
        <f t="shared" si="247"/>
        <v>9.4206043956043981</v>
      </c>
    </row>
    <row r="295" spans="1:14" ht="17">
      <c r="A295" s="1" t="s">
        <v>291</v>
      </c>
      <c r="B295" s="6">
        <f t="shared" ref="B295" si="278">C295/11.36%</f>
        <v>146384.48911331073</v>
      </c>
      <c r="C295" s="2">
        <v>16629.277963272099</v>
      </c>
      <c r="D295" s="9">
        <v>8.8728253968253998E-2</v>
      </c>
      <c r="E295" s="2">
        <f t="shared" si="245"/>
        <v>9060.6482534400384</v>
      </c>
      <c r="F295" s="9">
        <v>2.2715911111111122E-2</v>
      </c>
      <c r="G295" s="2">
        <f t="shared" si="246"/>
        <v>-20314.544941803735</v>
      </c>
      <c r="H295" s="7">
        <f t="shared" si="234"/>
        <v>-2.2420630813132991</v>
      </c>
      <c r="I295" s="9">
        <v>2.2715911111111122E-2</v>
      </c>
      <c r="J295" s="2">
        <v>-932.45579635363094</v>
      </c>
      <c r="K295" s="13">
        <v>9.4473626373626391</v>
      </c>
      <c r="L295" s="9">
        <f t="shared" si="235"/>
        <v>5.7673365079365102E-2</v>
      </c>
      <c r="M295" s="2">
        <f t="shared" si="236"/>
        <v>9060.6482534400384</v>
      </c>
      <c r="N295" s="16">
        <f t="shared" si="247"/>
        <v>9.4473626373626391</v>
      </c>
    </row>
    <row r="296" spans="1:14" ht="17">
      <c r="A296" s="1" t="s">
        <v>292</v>
      </c>
      <c r="B296" s="6">
        <f t="shared" ref="B296" si="279">C296/9.31%</f>
        <v>68729.258589457255</v>
      </c>
      <c r="C296" s="2">
        <v>6398.6939746784701</v>
      </c>
      <c r="D296" s="9">
        <v>8.9645396825396795E-2</v>
      </c>
      <c r="E296" s="2">
        <f t="shared" si="245"/>
        <v>3532.4141208839033</v>
      </c>
      <c r="F296" s="9">
        <v>2.3718311111111123E-2</v>
      </c>
      <c r="G296" s="2">
        <f t="shared" si="246"/>
        <v>-8278.6980970381683</v>
      </c>
      <c r="H296" s="7">
        <f t="shared" si="234"/>
        <v>-2.3436374710693944</v>
      </c>
      <c r="I296" s="9">
        <v>2.3718311111111123E-2</v>
      </c>
      <c r="J296" s="2">
        <v>-936.15032679738101</v>
      </c>
      <c r="K296" s="13">
        <v>9.4741208791208908</v>
      </c>
      <c r="L296" s="9">
        <f t="shared" si="235"/>
        <v>5.8269507936507918E-2</v>
      </c>
      <c r="M296" s="2">
        <f t="shared" si="236"/>
        <v>3532.4141208839033</v>
      </c>
      <c r="N296" s="16">
        <f t="shared" si="247"/>
        <v>9.4741208791208908</v>
      </c>
    </row>
    <row r="297" spans="1:14" ht="17">
      <c r="A297" s="1" t="s">
        <v>293</v>
      </c>
      <c r="B297" s="6">
        <f t="shared" ref="B297:B298" si="280">C297/12.1%</f>
        <v>34920.827499892235</v>
      </c>
      <c r="C297" s="2">
        <v>4225.4201274869602</v>
      </c>
      <c r="D297" s="9">
        <v>9.0562539682539703E-2</v>
      </c>
      <c r="E297" s="2">
        <f t="shared" si="245"/>
        <v>2363.1736695579675</v>
      </c>
      <c r="F297" s="9">
        <v>2.2305511111111117E-2</v>
      </c>
      <c r="G297" s="2">
        <f t="shared" si="246"/>
        <v>-5214.3501951067383</v>
      </c>
      <c r="H297" s="7">
        <f t="shared" si="234"/>
        <v>-2.206503170832165</v>
      </c>
      <c r="I297" s="9">
        <v>2.2305511111111117E-2</v>
      </c>
      <c r="J297" s="2">
        <v>-939.84485724114097</v>
      </c>
      <c r="K297" s="13">
        <v>9.5008791208791301</v>
      </c>
      <c r="L297" s="9">
        <f t="shared" si="235"/>
        <v>5.886565079365081E-2</v>
      </c>
      <c r="M297" s="2">
        <f t="shared" si="236"/>
        <v>2363.1736695579675</v>
      </c>
      <c r="N297" s="16">
        <f t="shared" si="247"/>
        <v>9.5008791208791283</v>
      </c>
    </row>
    <row r="298" spans="1:14" ht="17">
      <c r="A298" s="1" t="s">
        <v>294</v>
      </c>
      <c r="B298" s="6">
        <f t="shared" si="280"/>
        <v>44016.821376902401</v>
      </c>
      <c r="C298" s="2">
        <v>5326.0353866051901</v>
      </c>
      <c r="D298" s="9">
        <v>9.1479682539682597E-2</v>
      </c>
      <c r="E298" s="2">
        <f t="shared" si="245"/>
        <v>3017.3609944002878</v>
      </c>
      <c r="F298" s="9">
        <v>2.264631111111113E-2</v>
      </c>
      <c r="G298" s="2">
        <f t="shared" si="246"/>
        <v>-6767.0526689165117</v>
      </c>
      <c r="H298" s="7">
        <f t="shared" si="234"/>
        <v>-2.2427056893341626</v>
      </c>
      <c r="I298" s="9">
        <v>2.264631111111113E-2</v>
      </c>
      <c r="J298" s="2">
        <v>-943.53938768490104</v>
      </c>
      <c r="K298" s="13">
        <v>9.5276373626373694</v>
      </c>
      <c r="L298" s="9">
        <f t="shared" si="235"/>
        <v>5.9461793650793689E-2</v>
      </c>
      <c r="M298" s="2">
        <f t="shared" si="236"/>
        <v>3017.3609944002878</v>
      </c>
      <c r="N298" s="16">
        <f t="shared" si="247"/>
        <v>9.5276373626373712</v>
      </c>
    </row>
    <row r="299" spans="1:14" ht="17">
      <c r="A299" s="1" t="s">
        <v>295</v>
      </c>
      <c r="B299" s="6">
        <f t="shared" ref="B299" si="281">C299/11.09%</f>
        <v>110205.99933046258</v>
      </c>
      <c r="C299" s="2">
        <v>12221.8453257483</v>
      </c>
      <c r="D299" s="9">
        <v>9.2396825396825394E-2</v>
      </c>
      <c r="E299" s="2">
        <f t="shared" si="245"/>
        <v>7013.1060973837566</v>
      </c>
      <c r="F299" s="9">
        <v>2.5031111111111115E-2</v>
      </c>
      <c r="G299" s="2">
        <f t="shared" si="246"/>
        <v>-17403.819015331195</v>
      </c>
      <c r="H299" s="7">
        <f t="shared" si="234"/>
        <v>-2.4816135352385014</v>
      </c>
      <c r="I299" s="9">
        <v>2.5031111111111115E-2</v>
      </c>
      <c r="J299" s="2">
        <v>-947.233918128651</v>
      </c>
      <c r="K299" s="13">
        <v>9.5543956043956104</v>
      </c>
      <c r="L299" s="9">
        <f t="shared" si="235"/>
        <v>6.0057936507936505E-2</v>
      </c>
      <c r="M299" s="2">
        <f t="shared" si="236"/>
        <v>7013.1060973837566</v>
      </c>
      <c r="N299" s="16">
        <f t="shared" si="247"/>
        <v>9.5543956043956122</v>
      </c>
    </row>
    <row r="300" spans="1:14" ht="17">
      <c r="A300" s="1" t="s">
        <v>296</v>
      </c>
      <c r="B300" s="6">
        <f t="shared" ref="B300" si="282">C300/12.01%</f>
        <v>15257.748812201997</v>
      </c>
      <c r="C300" s="2">
        <v>1832.4556323454599</v>
      </c>
      <c r="D300" s="9">
        <v>4.99E-2</v>
      </c>
      <c r="E300" s="2">
        <f t="shared" si="245"/>
        <v>569.46257066053874</v>
      </c>
      <c r="F300" s="9">
        <v>1.1004000000000002E-2</v>
      </c>
      <c r="G300" s="2">
        <f t="shared" si="246"/>
        <v>-621.93613791605287</v>
      </c>
      <c r="H300" s="7">
        <f t="shared" si="234"/>
        <v>-1.0921457703438671</v>
      </c>
      <c r="I300" s="9">
        <v>1.1004000000000002E-2</v>
      </c>
      <c r="J300" s="2">
        <v>-950.92844857241096</v>
      </c>
      <c r="K300" s="13">
        <v>9.5811538461538603</v>
      </c>
      <c r="L300" s="9">
        <f t="shared" si="235"/>
        <v>3.2434999999999999E-2</v>
      </c>
      <c r="M300" s="2">
        <f t="shared" si="236"/>
        <v>569.46257066053874</v>
      </c>
      <c r="N300" s="16">
        <f t="shared" si="247"/>
        <v>9.5811538461538603</v>
      </c>
    </row>
    <row r="301" spans="1:14" ht="17">
      <c r="A301" s="1" t="s">
        <v>297</v>
      </c>
      <c r="B301" s="6">
        <f t="shared" ref="B301" si="283">C301/10.26%</f>
        <v>63773.114644012865</v>
      </c>
      <c r="C301" s="2">
        <v>6543.1215624757197</v>
      </c>
      <c r="D301" s="9">
        <v>7.3499999999999996E-2</v>
      </c>
      <c r="E301" s="2">
        <f t="shared" si="245"/>
        <v>3003.4105733644838</v>
      </c>
      <c r="F301" s="9">
        <v>1.9740000000000001E-2</v>
      </c>
      <c r="G301" s="2">
        <f t="shared" si="246"/>
        <v>-5890.6703165620374</v>
      </c>
      <c r="H301" s="7">
        <f t="shared" si="234"/>
        <v>-1.9613270222869279</v>
      </c>
      <c r="I301" s="9">
        <v>1.9740000000000001E-2</v>
      </c>
      <c r="J301" s="2">
        <v>-954.62297901617103</v>
      </c>
      <c r="K301" s="13">
        <v>9.6079120879120996</v>
      </c>
      <c r="L301" s="9">
        <f t="shared" si="235"/>
        <v>4.7774999999999998E-2</v>
      </c>
      <c r="M301" s="2">
        <f t="shared" si="236"/>
        <v>3003.4105733644838</v>
      </c>
      <c r="N301" s="16">
        <f t="shared" si="247"/>
        <v>9.6079120879120978</v>
      </c>
    </row>
    <row r="302" spans="1:14" ht="17">
      <c r="A302" s="1" t="s">
        <v>298</v>
      </c>
      <c r="B302" s="6">
        <f t="shared" ref="B302" si="284">C302/11.36%</f>
        <v>74153.221295164709</v>
      </c>
      <c r="C302" s="2">
        <v>8423.8059391307106</v>
      </c>
      <c r="D302" s="9">
        <v>8.3500000000000005E-2</v>
      </c>
      <c r="E302" s="2">
        <f t="shared" si="245"/>
        <v>4404.991192925524</v>
      </c>
      <c r="F302" s="9">
        <v>2.0804000000000003E-2</v>
      </c>
      <c r="G302" s="2">
        <f t="shared" si="246"/>
        <v>-9115.1633061704342</v>
      </c>
      <c r="H302" s="7">
        <f t="shared" si="234"/>
        <v>-2.0692807106650997</v>
      </c>
      <c r="I302" s="9">
        <v>2.0804000000000003E-2</v>
      </c>
      <c r="J302" s="2">
        <v>-958.31750945992098</v>
      </c>
      <c r="K302" s="13">
        <v>9.6346703296703406</v>
      </c>
      <c r="L302" s="9">
        <f t="shared" si="235"/>
        <v>5.4275000000000004E-2</v>
      </c>
      <c r="M302" s="2">
        <f t="shared" si="236"/>
        <v>4404.991192925524</v>
      </c>
      <c r="N302" s="16">
        <f t="shared" si="247"/>
        <v>9.6346703296703442</v>
      </c>
    </row>
    <row r="303" spans="1:14" ht="17">
      <c r="A303" s="1" t="s">
        <v>299</v>
      </c>
      <c r="B303" s="6">
        <f t="shared" ref="B303" si="285">C303/9.31%</f>
        <v>42580.312764860042</v>
      </c>
      <c r="C303" s="2">
        <v>3964.2271184084698</v>
      </c>
      <c r="D303" s="9">
        <v>8.9800000000000005E-2</v>
      </c>
      <c r="E303" s="2">
        <f t="shared" si="245"/>
        <v>2235.5766703783743</v>
      </c>
      <c r="F303" s="9">
        <v>2.2400000000000003E-2</v>
      </c>
      <c r="G303" s="2">
        <f t="shared" si="246"/>
        <v>-4986.2809748836717</v>
      </c>
      <c r="H303" s="7">
        <f t="shared" si="234"/>
        <v>-2.2304227096983156</v>
      </c>
      <c r="I303" s="9">
        <v>2.2400000000000003E-2</v>
      </c>
      <c r="J303" s="2">
        <v>-962.01203990368106</v>
      </c>
      <c r="K303" s="13">
        <v>9.6614285714285799</v>
      </c>
      <c r="L303" s="9">
        <f t="shared" si="235"/>
        <v>5.8370000000000005E-2</v>
      </c>
      <c r="M303" s="2">
        <f t="shared" si="236"/>
        <v>2235.5766703783743</v>
      </c>
      <c r="N303" s="16">
        <f t="shared" si="247"/>
        <v>9.6614285714285799</v>
      </c>
    </row>
    <row r="304" spans="1:14" ht="17">
      <c r="A304" s="1" t="s">
        <v>297</v>
      </c>
      <c r="B304" s="6">
        <f t="shared" ref="B304:B305" si="286">C304/12.1%</f>
        <v>54372.067913058178</v>
      </c>
      <c r="C304" s="2">
        <v>6579.0202174800397</v>
      </c>
      <c r="D304" s="9">
        <v>8.8700000000000001E-2</v>
      </c>
      <c r="E304" s="2">
        <f t="shared" si="245"/>
        <v>3674.8591830158525</v>
      </c>
      <c r="F304" s="9">
        <v>2.2400000000000003E-2</v>
      </c>
      <c r="G304" s="2">
        <f t="shared" si="246"/>
        <v>-8205.2421443954627</v>
      </c>
      <c r="H304" s="7">
        <f t="shared" si="234"/>
        <v>-2.2328045064468713</v>
      </c>
      <c r="I304" s="9">
        <v>2.2400000000000003E-2</v>
      </c>
      <c r="J304" s="2">
        <v>-965.70657034744102</v>
      </c>
      <c r="K304" s="13">
        <v>9.6881868131868192</v>
      </c>
      <c r="L304" s="9">
        <f t="shared" si="235"/>
        <v>5.7655000000000005E-2</v>
      </c>
      <c r="M304" s="2">
        <f t="shared" si="236"/>
        <v>3674.8591830158525</v>
      </c>
      <c r="N304" s="16">
        <f t="shared" si="247"/>
        <v>9.6881868131868192</v>
      </c>
    </row>
    <row r="305" spans="1:14" ht="17">
      <c r="A305" s="1" t="s">
        <v>298</v>
      </c>
      <c r="B305" s="6">
        <f t="shared" si="286"/>
        <v>65243.369367683306</v>
      </c>
      <c r="C305" s="2">
        <v>7894.4476934896802</v>
      </c>
      <c r="D305" s="9">
        <v>5.9900000000000002E-2</v>
      </c>
      <c r="E305" s="2">
        <f t="shared" si="245"/>
        <v>2986.0857795114202</v>
      </c>
      <c r="F305" s="9">
        <v>1.4028000000000001E-2</v>
      </c>
      <c r="G305" s="2">
        <f t="shared" si="246"/>
        <v>-4179.8548082279158</v>
      </c>
      <c r="H305" s="7">
        <f t="shared" si="234"/>
        <v>-1.3997772056339983</v>
      </c>
      <c r="I305" s="9">
        <v>1.4028000000000001E-2</v>
      </c>
      <c r="J305" s="2">
        <v>-969.40110079119097</v>
      </c>
      <c r="K305" s="13">
        <v>9.7149450549450602</v>
      </c>
      <c r="L305" s="9">
        <f t="shared" si="235"/>
        <v>3.8935000000000004E-2</v>
      </c>
      <c r="M305" s="2">
        <f t="shared" si="236"/>
        <v>2986.0857795114202</v>
      </c>
      <c r="N305" s="16">
        <f t="shared" si="247"/>
        <v>9.7149450549450602</v>
      </c>
    </row>
    <row r="306" spans="1:14" ht="17">
      <c r="A306" s="1" t="s">
        <v>299</v>
      </c>
      <c r="B306" s="6">
        <f t="shared" ref="B306" si="287">C306/11.09%</f>
        <v>32261.09909951641</v>
      </c>
      <c r="C306" s="2">
        <v>3577.75589013637</v>
      </c>
      <c r="D306" s="9">
        <v>8.1100000000000005E-2</v>
      </c>
      <c r="E306" s="2">
        <f t="shared" si="245"/>
        <v>1837.2988971766056</v>
      </c>
      <c r="F306" s="9">
        <v>2.0580000000000001E-2</v>
      </c>
      <c r="G306" s="2">
        <f t="shared" si="246"/>
        <v>-3776.9897777758674</v>
      </c>
      <c r="H306" s="7">
        <f t="shared" si="234"/>
        <v>-2.0557296276506793</v>
      </c>
      <c r="I306" s="9">
        <v>2.0580000000000001E-2</v>
      </c>
      <c r="J306" s="2">
        <v>-973.09563123495104</v>
      </c>
      <c r="K306" s="13">
        <v>9.7417032967033101</v>
      </c>
      <c r="L306" s="9">
        <f t="shared" si="235"/>
        <v>5.2715000000000005E-2</v>
      </c>
      <c r="M306" s="2">
        <f t="shared" si="236"/>
        <v>1837.2988971766056</v>
      </c>
      <c r="N306" s="16">
        <f t="shared" si="247"/>
        <v>9.7417032967033119</v>
      </c>
    </row>
    <row r="307" spans="1:14" ht="17">
      <c r="A307" s="1" t="s">
        <v>300</v>
      </c>
      <c r="B307" s="6">
        <f t="shared" ref="B307" si="288">C307/12.01%</f>
        <v>68063.070654492098</v>
      </c>
      <c r="C307" s="2">
        <v>8174.3747856045002</v>
      </c>
      <c r="D307" s="9">
        <v>7.4399999999999994E-2</v>
      </c>
      <c r="E307" s="2">
        <f t="shared" si="245"/>
        <v>3861.5975369689695</v>
      </c>
      <c r="F307" s="9">
        <v>1.7696000000000003E-2</v>
      </c>
      <c r="G307" s="2">
        <f t="shared" si="246"/>
        <v>-6833.0913107503375</v>
      </c>
      <c r="H307" s="7">
        <f t="shared" si="234"/>
        <v>-1.7694985677129216</v>
      </c>
      <c r="I307" s="9">
        <v>1.7696000000000003E-2</v>
      </c>
      <c r="J307" s="2">
        <v>-976.790161678711</v>
      </c>
      <c r="K307" s="13">
        <v>9.7684615384615494</v>
      </c>
      <c r="L307" s="9">
        <f t="shared" si="235"/>
        <v>4.836E-2</v>
      </c>
      <c r="M307" s="2">
        <f t="shared" si="236"/>
        <v>3861.5975369689695</v>
      </c>
      <c r="N307" s="16">
        <f t="shared" si="247"/>
        <v>9.7684615384615494</v>
      </c>
    </row>
    <row r="308" spans="1:14" ht="17">
      <c r="A308" s="1" t="s">
        <v>301</v>
      </c>
      <c r="B308" s="6">
        <f t="shared" ref="B308" si="289">C308/10.26%</f>
        <v>64842.161670349902</v>
      </c>
      <c r="C308" s="2">
        <v>6652.8057873778998</v>
      </c>
      <c r="D308" s="9">
        <v>8.0860000000000001E-2</v>
      </c>
      <c r="E308" s="2">
        <f t="shared" si="245"/>
        <v>3425.0437552261537</v>
      </c>
      <c r="F308" s="9">
        <v>1.95888E-2</v>
      </c>
      <c r="G308" s="2">
        <f t="shared" si="246"/>
        <v>-6715.8438351525301</v>
      </c>
      <c r="H308" s="7">
        <f t="shared" si="234"/>
        <v>-1.9608052670582852</v>
      </c>
      <c r="I308" s="9">
        <v>1.95888E-2</v>
      </c>
      <c r="J308" s="2">
        <v>-980.48469212246096</v>
      </c>
      <c r="K308" s="13">
        <v>9.7952197802197905</v>
      </c>
      <c r="L308" s="9">
        <f t="shared" si="235"/>
        <v>5.2559000000000002E-2</v>
      </c>
      <c r="M308" s="2">
        <f t="shared" si="236"/>
        <v>3425.0437552261537</v>
      </c>
      <c r="N308" s="16">
        <f t="shared" si="247"/>
        <v>9.7952197802197905</v>
      </c>
    </row>
    <row r="309" spans="1:14" ht="17">
      <c r="A309" s="1" t="s">
        <v>302</v>
      </c>
      <c r="B309" s="6">
        <f t="shared" ref="B309" si="290">C309/11.36%</f>
        <v>300213.68270800269</v>
      </c>
      <c r="C309" s="2">
        <v>34104.274355629103</v>
      </c>
      <c r="D309" s="9">
        <v>7.0277142857142899E-2</v>
      </c>
      <c r="E309" s="2">
        <f t="shared" si="245"/>
        <v>15301.54292056432</v>
      </c>
      <c r="F309" s="9">
        <v>1.6709600000000015E-2</v>
      </c>
      <c r="G309" s="2">
        <f t="shared" si="246"/>
        <v>-25619.84587419848</v>
      </c>
      <c r="H309" s="7">
        <f t="shared" si="234"/>
        <v>-1.6743308833102708</v>
      </c>
      <c r="I309" s="9">
        <v>1.6709600000000015E-2</v>
      </c>
      <c r="J309" s="2">
        <v>-984.17922256622103</v>
      </c>
      <c r="K309" s="13">
        <v>9.8219780219780297</v>
      </c>
      <c r="L309" s="9">
        <f t="shared" si="235"/>
        <v>4.5680142857142884E-2</v>
      </c>
      <c r="M309" s="2">
        <f t="shared" si="236"/>
        <v>15301.54292056432</v>
      </c>
      <c r="N309" s="16">
        <f t="shared" si="247"/>
        <v>9.8219780219780315</v>
      </c>
    </row>
    <row r="310" spans="1:14" ht="17">
      <c r="A310" s="1" t="s">
        <v>303</v>
      </c>
      <c r="B310" s="6">
        <f t="shared" ref="B310" si="291">C310/9.31%</f>
        <v>75280.432055716534</v>
      </c>
      <c r="C310" s="2">
        <v>7008.6082243872097</v>
      </c>
      <c r="D310" s="9">
        <v>8.9694285714285699E-2</v>
      </c>
      <c r="E310" s="2">
        <f t="shared" si="245"/>
        <v>4024.3006985376228</v>
      </c>
      <c r="F310" s="9">
        <v>2.4274399999999998E-2</v>
      </c>
      <c r="G310" s="2">
        <f t="shared" si="246"/>
        <v>-9798.5060948848713</v>
      </c>
      <c r="H310" s="7">
        <f t="shared" si="234"/>
        <v>-2.4348344790550858</v>
      </c>
      <c r="I310" s="9">
        <v>2.4274399999999998E-2</v>
      </c>
      <c r="J310" s="2">
        <v>-987.87375300997098</v>
      </c>
      <c r="K310" s="13">
        <v>9.8487362637362708</v>
      </c>
      <c r="L310" s="9">
        <f t="shared" si="235"/>
        <v>5.8301285714285708E-2</v>
      </c>
      <c r="M310" s="2">
        <f t="shared" si="236"/>
        <v>4024.3006985376228</v>
      </c>
      <c r="N310" s="16">
        <f t="shared" si="247"/>
        <v>9.8487362637362725</v>
      </c>
    </row>
    <row r="311" spans="1:14" ht="17">
      <c r="A311" s="1" t="s">
        <v>304</v>
      </c>
      <c r="B311" s="6">
        <f t="shared" ref="B311:B312" si="292">C311/12.1%</f>
        <v>214227.75845560001</v>
      </c>
      <c r="C311" s="2">
        <v>25921.558773127599</v>
      </c>
      <c r="D311" s="9">
        <v>7.7722539682539699E-2</v>
      </c>
      <c r="E311" s="2">
        <f t="shared" si="245"/>
        <v>12932.435039028742</v>
      </c>
      <c r="F311" s="9">
        <v>1.9186311111111118E-2</v>
      </c>
      <c r="G311" s="2">
        <f t="shared" si="246"/>
        <v>-24913.546981339481</v>
      </c>
      <c r="H311" s="7">
        <f t="shared" si="234"/>
        <v>-1.9264389812245715</v>
      </c>
      <c r="I311" s="9">
        <v>1.9186311111111118E-2</v>
      </c>
      <c r="J311" s="2">
        <v>-991.56828345373106</v>
      </c>
      <c r="K311" s="13">
        <v>9.87549450549451</v>
      </c>
      <c r="L311" s="9">
        <f t="shared" si="235"/>
        <v>5.0519650793650804E-2</v>
      </c>
      <c r="M311" s="2">
        <f t="shared" si="236"/>
        <v>12932.435039028742</v>
      </c>
      <c r="N311" s="16">
        <f t="shared" si="247"/>
        <v>9.8754945054945118</v>
      </c>
    </row>
    <row r="312" spans="1:14" ht="17">
      <c r="A312" s="1" t="s">
        <v>305</v>
      </c>
      <c r="B312" s="6">
        <f t="shared" si="292"/>
        <v>61528.86015363389</v>
      </c>
      <c r="C312" s="2">
        <v>7444.9920785897002</v>
      </c>
      <c r="D312" s="9">
        <v>7.8639682539682607E-2</v>
      </c>
      <c r="E312" s="2">
        <f t="shared" si="245"/>
        <v>3768.3684183404785</v>
      </c>
      <c r="F312" s="9">
        <v>1.9275111111111104E-2</v>
      </c>
      <c r="G312" s="2">
        <f t="shared" si="246"/>
        <v>-7300.523718502156</v>
      </c>
      <c r="H312" s="7">
        <f t="shared" si="234"/>
        <v>-1.9373168724615242</v>
      </c>
      <c r="I312" s="9">
        <v>1.9275111111111104E-2</v>
      </c>
      <c r="J312" s="2">
        <v>-995.26281389749101</v>
      </c>
      <c r="K312" s="13">
        <v>9.9022527472527493</v>
      </c>
      <c r="L312" s="9">
        <f t="shared" si="235"/>
        <v>5.1115793650793696E-2</v>
      </c>
      <c r="M312" s="2">
        <f t="shared" si="236"/>
        <v>3768.3684183404785</v>
      </c>
      <c r="N312" s="16">
        <f t="shared" si="247"/>
        <v>9.9022527472527493</v>
      </c>
    </row>
    <row r="313" spans="1:14" ht="17">
      <c r="A313" s="1" t="s">
        <v>306</v>
      </c>
      <c r="B313" s="6">
        <f t="shared" ref="B313" si="293">C313/11.09%</f>
        <v>243817.23703550227</v>
      </c>
      <c r="C313" s="2">
        <v>27039.3315872372</v>
      </c>
      <c r="D313" s="9">
        <v>7.9556825396825404E-2</v>
      </c>
      <c r="E313" s="2">
        <f t="shared" si="245"/>
        <v>13883.301157939071</v>
      </c>
      <c r="F313" s="9">
        <v>1.9839911111111115E-2</v>
      </c>
      <c r="G313" s="2">
        <f t="shared" si="246"/>
        <v>-27712.354082763159</v>
      </c>
      <c r="H313" s="7">
        <f t="shared" si="234"/>
        <v>-1.9960925551856978</v>
      </c>
      <c r="I313" s="9">
        <v>1.9839911111111115E-2</v>
      </c>
      <c r="J313" s="2">
        <v>-998.95734434124097</v>
      </c>
      <c r="K313" s="13">
        <v>9.9290109890109992</v>
      </c>
      <c r="L313" s="9">
        <f t="shared" si="235"/>
        <v>5.1711936507936512E-2</v>
      </c>
      <c r="M313" s="2">
        <f t="shared" si="236"/>
        <v>13883.301157939071</v>
      </c>
      <c r="N313" s="16">
        <f t="shared" si="247"/>
        <v>9.9290109890109992</v>
      </c>
    </row>
    <row r="314" spans="1:14" ht="17">
      <c r="A314" s="1" t="s">
        <v>307</v>
      </c>
      <c r="B314" s="6">
        <f t="shared" ref="B314" si="294">C314/12.01%</f>
        <v>194265.4578938185</v>
      </c>
      <c r="C314" s="2">
        <v>23331.281493047602</v>
      </c>
      <c r="D314" s="9">
        <v>8.0473968253968298E-2</v>
      </c>
      <c r="E314" s="2">
        <f t="shared" si="245"/>
        <v>12150.1653670953</v>
      </c>
      <c r="F314" s="9">
        <v>1.9788711111111124E-2</v>
      </c>
      <c r="G314" s="2">
        <f t="shared" si="246"/>
        <v>-24214.474369343236</v>
      </c>
      <c r="H314" s="7">
        <f t="shared" ref="H314:H377" si="295">G314/E314</f>
        <v>-1.9929337286980573</v>
      </c>
      <c r="I314" s="9">
        <v>1.9788711111111124E-2</v>
      </c>
      <c r="J314" s="2">
        <v>-1002.651874785</v>
      </c>
      <c r="K314" s="13">
        <v>9.9557692307692403</v>
      </c>
      <c r="L314" s="9">
        <f t="shared" ref="L314:L377" si="296">D314*65%</f>
        <v>5.2308079365079398E-2</v>
      </c>
      <c r="M314" s="2">
        <f t="shared" ref="M314:M377" si="297">C314*L314*K314</f>
        <v>12150.1653670953</v>
      </c>
      <c r="N314" s="16">
        <f t="shared" si="247"/>
        <v>9.9557692307692403</v>
      </c>
    </row>
    <row r="315" spans="1:14" ht="17">
      <c r="A315" s="1" t="s">
        <v>308</v>
      </c>
      <c r="B315" s="6">
        <f t="shared" ref="B315" si="298">C315/10.26%</f>
        <v>41511.840216952733</v>
      </c>
      <c r="C315" s="2">
        <v>4259.1148062593502</v>
      </c>
      <c r="D315" s="9">
        <v>8.1391111111111095E-2</v>
      </c>
      <c r="E315" s="2">
        <f t="shared" si="245"/>
        <v>2249.3145618214053</v>
      </c>
      <c r="F315" s="9">
        <v>2.066151111111111E-2</v>
      </c>
      <c r="G315" s="2">
        <f t="shared" si="246"/>
        <v>-4685.1042770498625</v>
      </c>
      <c r="H315" s="7">
        <f t="shared" si="295"/>
        <v>-2.0829031014924171</v>
      </c>
      <c r="I315" s="9">
        <v>2.066151111111111E-2</v>
      </c>
      <c r="J315" s="2">
        <v>-1006.34640522876</v>
      </c>
      <c r="K315" s="13">
        <v>9.9825274725274795</v>
      </c>
      <c r="L315" s="9">
        <f t="shared" si="296"/>
        <v>5.2904222222222214E-2</v>
      </c>
      <c r="M315" s="2">
        <f t="shared" si="297"/>
        <v>2249.3145618214053</v>
      </c>
      <c r="N315" s="16">
        <f t="shared" si="247"/>
        <v>9.9825274725274795</v>
      </c>
    </row>
    <row r="316" spans="1:14" ht="17">
      <c r="A316" s="1" t="s">
        <v>309</v>
      </c>
      <c r="B316" s="6">
        <f t="shared" ref="B316" si="299">C316/11.36%</f>
        <v>53939.123770739003</v>
      </c>
      <c r="C316" s="2">
        <v>6127.4844603559504</v>
      </c>
      <c r="D316" s="9">
        <v>8.2308253968254003E-2</v>
      </c>
      <c r="E316" s="2">
        <f t="shared" si="245"/>
        <v>3281.2706239885169</v>
      </c>
      <c r="F316" s="9">
        <v>1.9910311111111124E-2</v>
      </c>
      <c r="G316" s="2">
        <f t="shared" si="246"/>
        <v>-6592.5887630628404</v>
      </c>
      <c r="H316" s="7">
        <f t="shared" si="295"/>
        <v>-2.009157280373687</v>
      </c>
      <c r="I316" s="9">
        <v>1.9910311111111124E-2</v>
      </c>
      <c r="J316" s="2">
        <v>-1010.04093567251</v>
      </c>
      <c r="K316" s="13">
        <v>10.009285714285699</v>
      </c>
      <c r="L316" s="9">
        <f t="shared" si="296"/>
        <v>5.3500365079365106E-2</v>
      </c>
      <c r="M316" s="2">
        <f t="shared" si="297"/>
        <v>3281.2706239885169</v>
      </c>
      <c r="N316" s="16">
        <f t="shared" si="247"/>
        <v>10.009285714285699</v>
      </c>
    </row>
    <row r="317" spans="1:14" ht="17">
      <c r="A317" s="1" t="s">
        <v>310</v>
      </c>
      <c r="B317" s="6">
        <f t="shared" ref="B317" si="300">C317/9.31%</f>
        <v>206833.35648689902</v>
      </c>
      <c r="C317" s="2">
        <v>19256.185488930299</v>
      </c>
      <c r="D317" s="9">
        <v>8.32253968253968E-2</v>
      </c>
      <c r="E317" s="2">
        <f t="shared" si="245"/>
        <v>10454.470626045082</v>
      </c>
      <c r="F317" s="9">
        <v>2.0251111111111109E-2</v>
      </c>
      <c r="G317" s="2">
        <f t="shared" si="246"/>
        <v>-21385.18389774489</v>
      </c>
      <c r="H317" s="7">
        <f t="shared" si="295"/>
        <v>-2.0455539704199146</v>
      </c>
      <c r="I317" s="9">
        <v>2.0251111111111109E-2</v>
      </c>
      <c r="J317" s="2">
        <v>-1013.73546611627</v>
      </c>
      <c r="K317" s="13">
        <v>10.036043956044001</v>
      </c>
      <c r="L317" s="9">
        <f t="shared" si="296"/>
        <v>5.4096507936507922E-2</v>
      </c>
      <c r="M317" s="2">
        <f t="shared" si="297"/>
        <v>10454.470626045082</v>
      </c>
      <c r="N317" s="16">
        <f t="shared" si="247"/>
        <v>10.036043956044002</v>
      </c>
    </row>
    <row r="318" spans="1:14" ht="17">
      <c r="A318" s="1" t="s">
        <v>311</v>
      </c>
      <c r="B318" s="6">
        <f t="shared" ref="B318:B319" si="301">C318/12.1%</f>
        <v>24627.308474973139</v>
      </c>
      <c r="C318" s="2">
        <v>2979.9043254717499</v>
      </c>
      <c r="D318" s="9">
        <v>8.4142539682539694E-2</v>
      </c>
      <c r="E318" s="2">
        <f t="shared" si="245"/>
        <v>1640.0240977374426</v>
      </c>
      <c r="F318" s="9">
        <v>2.0591911111111118E-2</v>
      </c>
      <c r="G318" s="2">
        <f t="shared" si="246"/>
        <v>-3414.54221157237</v>
      </c>
      <c r="H318" s="7">
        <f t="shared" si="295"/>
        <v>-2.0820073414061606</v>
      </c>
      <c r="I318" s="9">
        <v>2.0591911111111118E-2</v>
      </c>
      <c r="J318" s="2">
        <v>-1017.42999656003</v>
      </c>
      <c r="K318" s="13">
        <v>10.062802197802201</v>
      </c>
      <c r="L318" s="9">
        <f t="shared" si="296"/>
        <v>5.46926507936508E-2</v>
      </c>
      <c r="M318" s="2">
        <f t="shared" si="297"/>
        <v>1640.0240977374426</v>
      </c>
      <c r="N318" s="16">
        <f t="shared" si="247"/>
        <v>10.062802197802199</v>
      </c>
    </row>
    <row r="319" spans="1:14" ht="17">
      <c r="A319" s="1" t="s">
        <v>312</v>
      </c>
      <c r="B319" s="6">
        <f t="shared" si="301"/>
        <v>38453.630135438434</v>
      </c>
      <c r="C319" s="2">
        <v>4652.8892463880502</v>
      </c>
      <c r="D319" s="9">
        <v>8.5059682539682602E-2</v>
      </c>
      <c r="E319" s="2">
        <f t="shared" si="245"/>
        <v>2595.565993162942</v>
      </c>
      <c r="F319" s="9">
        <v>2.2976711111111131E-2</v>
      </c>
      <c r="G319" s="2">
        <f t="shared" si="246"/>
        <v>-6035.6827056358788</v>
      </c>
      <c r="H319" s="7">
        <f t="shared" si="295"/>
        <v>-2.3253821022215004</v>
      </c>
      <c r="I319" s="9">
        <v>2.2976711111111131E-2</v>
      </c>
      <c r="J319" s="2">
        <v>-1021.12452700378</v>
      </c>
      <c r="K319" s="13">
        <v>10.089560439560399</v>
      </c>
      <c r="L319" s="9">
        <f t="shared" si="296"/>
        <v>5.5288793650793693E-2</v>
      </c>
      <c r="M319" s="2">
        <f t="shared" si="297"/>
        <v>2595.565993162942</v>
      </c>
      <c r="N319" s="16">
        <f t="shared" si="247"/>
        <v>10.089560439560401</v>
      </c>
    </row>
    <row r="320" spans="1:14" ht="17">
      <c r="A320" s="1" t="s">
        <v>313</v>
      </c>
      <c r="B320" s="6">
        <f t="shared" ref="B320" si="302">C320/11.09%</f>
        <v>198473.75090221822</v>
      </c>
      <c r="C320" s="2">
        <v>22010.738975056</v>
      </c>
      <c r="D320" s="9">
        <v>8.5976825396825399E-2</v>
      </c>
      <c r="E320" s="2">
        <f t="shared" si="245"/>
        <v>12443.767476082257</v>
      </c>
      <c r="F320" s="9">
        <v>2.1497511111111114E-2</v>
      </c>
      <c r="G320" s="2">
        <f t="shared" si="246"/>
        <v>-27099.717299276792</v>
      </c>
      <c r="H320" s="7">
        <f t="shared" si="295"/>
        <v>-2.1777743236816534</v>
      </c>
      <c r="I320" s="9">
        <v>2.1497511111111114E-2</v>
      </c>
      <c r="J320" s="2">
        <v>-1024.81905744754</v>
      </c>
      <c r="K320" s="13">
        <v>10.116318681318701</v>
      </c>
      <c r="L320" s="9">
        <f t="shared" si="296"/>
        <v>5.5884936507936508E-2</v>
      </c>
      <c r="M320" s="2">
        <f t="shared" si="297"/>
        <v>12443.767476082257</v>
      </c>
      <c r="N320" s="16">
        <f t="shared" si="247"/>
        <v>10.116318681318702</v>
      </c>
    </row>
    <row r="321" spans="1:14" ht="17">
      <c r="A321" s="1" t="s">
        <v>314</v>
      </c>
      <c r="B321" s="6">
        <f t="shared" ref="B321" si="303">C321/12.01%</f>
        <v>28132.70022078418</v>
      </c>
      <c r="C321" s="2">
        <v>3378.7372965161799</v>
      </c>
      <c r="D321" s="9">
        <v>8.6893968253968307E-2</v>
      </c>
      <c r="E321" s="2">
        <f t="shared" si="245"/>
        <v>1935.6513398813609</v>
      </c>
      <c r="F321" s="9">
        <v>2.1586311111111128E-2</v>
      </c>
      <c r="G321" s="2">
        <f t="shared" si="246"/>
        <v>-4236.8772222263779</v>
      </c>
      <c r="H321" s="7">
        <f t="shared" si="295"/>
        <v>-2.1888638387149117</v>
      </c>
      <c r="I321" s="9">
        <v>2.1586311111111128E-2</v>
      </c>
      <c r="J321" s="2">
        <v>-1028.5135878912999</v>
      </c>
      <c r="K321" s="13">
        <v>10.143076923076899</v>
      </c>
      <c r="L321" s="9">
        <f t="shared" si="296"/>
        <v>5.6481079365079401E-2</v>
      </c>
      <c r="M321" s="2">
        <f t="shared" si="297"/>
        <v>1935.6513398813609</v>
      </c>
      <c r="N321" s="16">
        <f t="shared" si="247"/>
        <v>10.143076923076901</v>
      </c>
    </row>
    <row r="322" spans="1:14" ht="17">
      <c r="A322" s="1" t="s">
        <v>315</v>
      </c>
      <c r="B322" s="6">
        <f t="shared" ref="B322" si="304">C322/10.26%</f>
        <v>70765.322985823688</v>
      </c>
      <c r="C322" s="2">
        <v>7260.52213834551</v>
      </c>
      <c r="D322" s="9">
        <v>8.7811111111111104E-2</v>
      </c>
      <c r="E322" s="2">
        <f t="shared" si="245"/>
        <v>4214.4858200264207</v>
      </c>
      <c r="F322" s="9">
        <v>2.2151111111111111E-2</v>
      </c>
      <c r="G322" s="2">
        <f t="shared" si="246"/>
        <v>-9475.3109083558957</v>
      </c>
      <c r="H322" s="7">
        <f t="shared" si="295"/>
        <v>-2.2482721055391983</v>
      </c>
      <c r="I322" s="9">
        <v>2.2151111111111111E-2</v>
      </c>
      <c r="J322" s="2">
        <v>-1032.2081183350499</v>
      </c>
      <c r="K322" s="13">
        <v>10.169835164835201</v>
      </c>
      <c r="L322" s="9">
        <f t="shared" si="296"/>
        <v>5.7077222222222217E-2</v>
      </c>
      <c r="M322" s="2">
        <f t="shared" si="297"/>
        <v>4214.4858200264207</v>
      </c>
      <c r="N322" s="16">
        <f t="shared" si="247"/>
        <v>10.169835164835201</v>
      </c>
    </row>
    <row r="323" spans="1:14" ht="17">
      <c r="A323" s="1" t="s">
        <v>316</v>
      </c>
      <c r="B323" s="6">
        <f t="shared" ref="B323" si="305">C323/11.36%</f>
        <v>33837.062262380634</v>
      </c>
      <c r="C323" s="2">
        <v>3843.8902730064401</v>
      </c>
      <c r="D323" s="9">
        <v>8.8728253968253998E-2</v>
      </c>
      <c r="E323" s="2">
        <f t="shared" ref="E323:E386" si="306">C323*L323*K323</f>
        <v>2260.4836798204128</v>
      </c>
      <c r="F323" s="9">
        <v>2.209991111111112E-2</v>
      </c>
      <c r="G323" s="2">
        <f t="shared" ref="G323:G386" si="307">C323*L323*F323*J323</f>
        <v>-5075.2301857649318</v>
      </c>
      <c r="H323" s="7">
        <f t="shared" si="295"/>
        <v>-2.2451965617235246</v>
      </c>
      <c r="I323" s="9">
        <v>2.209991111111112E-2</v>
      </c>
      <c r="J323" s="2">
        <v>-1035.9026487788101</v>
      </c>
      <c r="K323" s="13">
        <v>10.196593406593401</v>
      </c>
      <c r="L323" s="9">
        <f t="shared" si="296"/>
        <v>5.7673365079365102E-2</v>
      </c>
      <c r="M323" s="2">
        <f t="shared" si="297"/>
        <v>2260.4836798204128</v>
      </c>
      <c r="N323" s="16">
        <f t="shared" ref="N323:N386" si="308">J323*I323/H323</f>
        <v>10.196593406593401</v>
      </c>
    </row>
    <row r="324" spans="1:14" ht="17">
      <c r="A324" s="1" t="s">
        <v>317</v>
      </c>
      <c r="B324" s="6">
        <f t="shared" ref="B324" si="309">C324/9.31%</f>
        <v>133507.8936906262</v>
      </c>
      <c r="C324" s="2">
        <v>12429.5849025973</v>
      </c>
      <c r="D324" s="9">
        <v>8.9645396825396795E-2</v>
      </c>
      <c r="E324" s="2">
        <f t="shared" si="306"/>
        <v>7404.4239207041801</v>
      </c>
      <c r="F324" s="9">
        <v>2.3718311111111123E-2</v>
      </c>
      <c r="G324" s="2">
        <f t="shared" si="307"/>
        <v>-17858.576137996439</v>
      </c>
      <c r="H324" s="7">
        <f t="shared" si="295"/>
        <v>-2.411879212920327</v>
      </c>
      <c r="I324" s="9">
        <v>2.3718311111111123E-2</v>
      </c>
      <c r="J324" s="2">
        <v>-1039.59717922256</v>
      </c>
      <c r="K324" s="13">
        <v>10.2233516483517</v>
      </c>
      <c r="L324" s="9">
        <f t="shared" si="296"/>
        <v>5.8269507936507918E-2</v>
      </c>
      <c r="M324" s="2">
        <f t="shared" si="297"/>
        <v>7404.4239207041801</v>
      </c>
      <c r="N324" s="16">
        <f t="shared" si="308"/>
        <v>10.2233516483517</v>
      </c>
    </row>
    <row r="325" spans="1:14" ht="17">
      <c r="A325" s="1" t="s">
        <v>318</v>
      </c>
      <c r="B325" s="6">
        <f t="shared" ref="B325:B326" si="310">C325/12.1%</f>
        <v>282825.34766488097</v>
      </c>
      <c r="C325" s="2">
        <v>34221.867067450599</v>
      </c>
      <c r="D325" s="9">
        <v>9.0562539682539703E-2</v>
      </c>
      <c r="E325" s="2">
        <f t="shared" si="306"/>
        <v>20648.769254867297</v>
      </c>
      <c r="F325" s="9">
        <v>2.222151111111112E-2</v>
      </c>
      <c r="G325" s="2">
        <f t="shared" si="307"/>
        <v>-46703.023226725134</v>
      </c>
      <c r="H325" s="7">
        <f t="shared" si="295"/>
        <v>-2.2617824166792104</v>
      </c>
      <c r="I325" s="9">
        <v>2.222151111111112E-2</v>
      </c>
      <c r="J325" s="2">
        <v>-1043.29170966632</v>
      </c>
      <c r="K325" s="13">
        <v>10.250109890109901</v>
      </c>
      <c r="L325" s="9">
        <f t="shared" si="296"/>
        <v>5.886565079365081E-2</v>
      </c>
      <c r="M325" s="2">
        <f t="shared" si="297"/>
        <v>20648.769254867297</v>
      </c>
      <c r="N325" s="16">
        <f t="shared" si="308"/>
        <v>10.250109890109901</v>
      </c>
    </row>
    <row r="326" spans="1:14" ht="17">
      <c r="A326" s="1" t="s">
        <v>319</v>
      </c>
      <c r="B326" s="6">
        <f t="shared" si="310"/>
        <v>785794.51159204054</v>
      </c>
      <c r="C326" s="2">
        <v>95081.135902636903</v>
      </c>
      <c r="D326" s="9">
        <v>9.1479682539682597E-2</v>
      </c>
      <c r="E326" s="2">
        <f t="shared" si="306"/>
        <v>58102.276771699915</v>
      </c>
      <c r="F326" s="9">
        <v>2.2562311111111132E-2</v>
      </c>
      <c r="G326" s="2">
        <f t="shared" si="307"/>
        <v>-133554.00753837917</v>
      </c>
      <c r="H326" s="7">
        <f t="shared" si="295"/>
        <v>-2.2986019646553646</v>
      </c>
      <c r="I326" s="9">
        <v>2.2562311111111132E-2</v>
      </c>
      <c r="J326" s="2">
        <v>-1046.98624011008</v>
      </c>
      <c r="K326" s="13">
        <v>10.276868131868101</v>
      </c>
      <c r="L326" s="9">
        <f t="shared" si="296"/>
        <v>5.9461793650793689E-2</v>
      </c>
      <c r="M326" s="2">
        <f t="shared" si="297"/>
        <v>58102.276771699915</v>
      </c>
      <c r="N326" s="16">
        <f t="shared" si="308"/>
        <v>10.276868131868101</v>
      </c>
    </row>
    <row r="327" spans="1:14" ht="17">
      <c r="A327" s="1" t="s">
        <v>320</v>
      </c>
      <c r="B327" s="6">
        <f t="shared" ref="B327" si="311">C327/11.09%</f>
        <v>654435.72048756538</v>
      </c>
      <c r="C327" s="2">
        <v>72576.921402071006</v>
      </c>
      <c r="D327" s="9">
        <v>9.2396825396825394E-2</v>
      </c>
      <c r="E327" s="2">
        <f t="shared" si="306"/>
        <v>44911.654126711786</v>
      </c>
      <c r="F327" s="9">
        <v>2.2903111111111114E-2</v>
      </c>
      <c r="G327" s="2">
        <f t="shared" si="307"/>
        <v>-104890.03071212074</v>
      </c>
      <c r="H327" s="7">
        <f t="shared" si="295"/>
        <v>-2.3354746724800779</v>
      </c>
      <c r="I327" s="9">
        <v>2.2903111111111114E-2</v>
      </c>
      <c r="J327" s="2">
        <v>-1050.6807705538299</v>
      </c>
      <c r="K327" s="13">
        <v>10.3036263736264</v>
      </c>
      <c r="L327" s="9">
        <f t="shared" si="296"/>
        <v>6.0057936507936505E-2</v>
      </c>
      <c r="M327" s="2">
        <f t="shared" si="297"/>
        <v>44911.654126711786</v>
      </c>
      <c r="N327" s="16">
        <f t="shared" si="308"/>
        <v>10.303626373626399</v>
      </c>
    </row>
    <row r="328" spans="1:14" ht="17">
      <c r="A328" s="1" t="s">
        <v>321</v>
      </c>
      <c r="B328" s="6">
        <f t="shared" ref="B328" si="312">C328/12.01%</f>
        <v>535397.03590851207</v>
      </c>
      <c r="C328" s="2">
        <v>64301.184012612299</v>
      </c>
      <c r="D328" s="9">
        <v>9.3313968253968302E-2</v>
      </c>
      <c r="E328" s="2">
        <f t="shared" si="306"/>
        <v>40289.833842418418</v>
      </c>
      <c r="F328" s="9">
        <v>2.5287911111111127E-2</v>
      </c>
      <c r="G328" s="2">
        <f t="shared" si="307"/>
        <v>-103988.94334506286</v>
      </c>
      <c r="H328" s="7">
        <f t="shared" si="295"/>
        <v>-2.5810218962873952</v>
      </c>
      <c r="I328" s="9">
        <v>2.5287911111111127E-2</v>
      </c>
      <c r="J328" s="2">
        <v>-1054.3753009975901</v>
      </c>
      <c r="K328" s="13">
        <v>10.330384615384601</v>
      </c>
      <c r="L328" s="9">
        <f t="shared" si="296"/>
        <v>6.0654079365079397E-2</v>
      </c>
      <c r="M328" s="2">
        <f t="shared" si="297"/>
        <v>40289.833842418418</v>
      </c>
      <c r="N328" s="16">
        <f t="shared" si="308"/>
        <v>10.330384615384601</v>
      </c>
    </row>
    <row r="329" spans="1:14" ht="17">
      <c r="A329" s="1" t="s">
        <v>322</v>
      </c>
      <c r="B329" s="6">
        <f t="shared" ref="B329" si="313">C329/10.26%</f>
        <v>646707.11922188592</v>
      </c>
      <c r="C329" s="2">
        <v>66352.150432165494</v>
      </c>
      <c r="D329" s="9">
        <v>9.4231111111111196E-2</v>
      </c>
      <c r="E329" s="2">
        <f t="shared" si="306"/>
        <v>42092.298145672066</v>
      </c>
      <c r="F329" s="9">
        <v>2.3718311111111123E-2</v>
      </c>
      <c r="G329" s="2">
        <f t="shared" si="307"/>
        <v>-101990.74504300271</v>
      </c>
      <c r="H329" s="7">
        <f t="shared" si="295"/>
        <v>-2.4230262907013409</v>
      </c>
      <c r="I329" s="9">
        <v>2.3718311111111123E-2</v>
      </c>
      <c r="J329" s="2">
        <v>-1058.0698314413501</v>
      </c>
      <c r="K329" s="13">
        <v>10.3571428571429</v>
      </c>
      <c r="L329" s="9">
        <f t="shared" si="296"/>
        <v>6.1250222222222282E-2</v>
      </c>
      <c r="M329" s="2">
        <f t="shared" si="297"/>
        <v>42092.298145672066</v>
      </c>
      <c r="N329" s="16">
        <f t="shared" si="308"/>
        <v>10.357142857142899</v>
      </c>
    </row>
    <row r="330" spans="1:14" ht="17">
      <c r="A330" s="1" t="s">
        <v>323</v>
      </c>
      <c r="B330" s="6">
        <f t="shared" ref="B330" si="314">C330/11.36%</f>
        <v>135898.65006881778</v>
      </c>
      <c r="C330" s="2">
        <v>15438.086647817699</v>
      </c>
      <c r="D330" s="9">
        <v>9.5148253968254007E-2</v>
      </c>
      <c r="E330" s="2">
        <f t="shared" si="306"/>
        <v>9914.4401842349944</v>
      </c>
      <c r="F330" s="9">
        <v>2.3897511111111124E-2</v>
      </c>
      <c r="G330" s="2">
        <f t="shared" si="307"/>
        <v>-24226.37694452305</v>
      </c>
      <c r="H330" s="7">
        <f t="shared" si="295"/>
        <v>-2.4435446171782393</v>
      </c>
      <c r="I330" s="9">
        <v>2.3897511111111124E-2</v>
      </c>
      <c r="J330" s="2">
        <v>-1061.7643618851</v>
      </c>
      <c r="K330" s="13">
        <v>10.3839010989011</v>
      </c>
      <c r="L330" s="9">
        <f t="shared" si="296"/>
        <v>6.1846365079365105E-2</v>
      </c>
      <c r="M330" s="2">
        <f t="shared" si="297"/>
        <v>9914.4401842349944</v>
      </c>
      <c r="N330" s="16">
        <f t="shared" si="308"/>
        <v>10.3839010989011</v>
      </c>
    </row>
    <row r="331" spans="1:14" ht="17">
      <c r="A331" s="1" t="s">
        <v>324</v>
      </c>
      <c r="B331" s="6">
        <f t="shared" ref="B331" si="315">C331/9.31%</f>
        <v>195200.00678854025</v>
      </c>
      <c r="C331" s="2">
        <v>18173.120632013099</v>
      </c>
      <c r="D331" s="9">
        <v>9.6065396825396901E-2</v>
      </c>
      <c r="E331" s="2">
        <f t="shared" si="306"/>
        <v>11813.758340414985</v>
      </c>
      <c r="F331" s="9">
        <v>2.4462311111111135E-2</v>
      </c>
      <c r="G331" s="2">
        <f t="shared" si="307"/>
        <v>-29576.312800995081</v>
      </c>
      <c r="H331" s="7">
        <f t="shared" si="295"/>
        <v>-2.5035481468936283</v>
      </c>
      <c r="I331" s="9">
        <v>2.4462311111111135E-2</v>
      </c>
      <c r="J331" s="2">
        <v>-1065.45889232886</v>
      </c>
      <c r="K331" s="13">
        <v>10.410659340659301</v>
      </c>
      <c r="L331" s="9">
        <f t="shared" si="296"/>
        <v>6.244250793650799E-2</v>
      </c>
      <c r="M331" s="2">
        <f t="shared" si="297"/>
        <v>11813.758340414985</v>
      </c>
      <c r="N331" s="16">
        <f t="shared" si="308"/>
        <v>10.410659340659301</v>
      </c>
    </row>
    <row r="332" spans="1:14" ht="17">
      <c r="A332" s="1" t="s">
        <v>325</v>
      </c>
      <c r="B332" s="6">
        <f t="shared" ref="B332:B333" si="316">C332/12.1%</f>
        <v>142192.57273510826</v>
      </c>
      <c r="C332" s="2">
        <v>17205.3013009481</v>
      </c>
      <c r="D332" s="9">
        <v>6.8777142857142898E-2</v>
      </c>
      <c r="E332" s="2">
        <f t="shared" si="306"/>
        <v>8028.1010183282406</v>
      </c>
      <c r="F332" s="9">
        <v>1.6513600000000014E-2</v>
      </c>
      <c r="G332" s="2">
        <f t="shared" si="307"/>
        <v>-13580.055998570153</v>
      </c>
      <c r="H332" s="7">
        <f t="shared" si="295"/>
        <v>-1.6915651618691319</v>
      </c>
      <c r="I332" s="9">
        <v>1.6513600000000014E-2</v>
      </c>
      <c r="J332" s="2">
        <v>-1069.1534227726199</v>
      </c>
      <c r="K332" s="13">
        <v>10.4374175824176</v>
      </c>
      <c r="L332" s="9">
        <f t="shared" si="296"/>
        <v>4.4705142857142888E-2</v>
      </c>
      <c r="M332" s="2">
        <f t="shared" si="297"/>
        <v>8028.1010183282406</v>
      </c>
      <c r="N332" s="16">
        <f t="shared" si="308"/>
        <v>10.4374175824176</v>
      </c>
    </row>
    <row r="333" spans="1:14" ht="17">
      <c r="A333" s="1" t="s">
        <v>326</v>
      </c>
      <c r="B333" s="6">
        <f t="shared" si="316"/>
        <v>437710.48082612728</v>
      </c>
      <c r="C333" s="2">
        <v>52962.968179961397</v>
      </c>
      <c r="D333" s="9">
        <v>6.9602857142857105E-2</v>
      </c>
      <c r="E333" s="2">
        <f t="shared" si="306"/>
        <v>25073.662073150568</v>
      </c>
      <c r="F333" s="9">
        <v>1.7360799999999989E-2</v>
      </c>
      <c r="G333" s="2">
        <f t="shared" si="307"/>
        <v>-44629.359192066171</v>
      </c>
      <c r="H333" s="7">
        <f t="shared" si="295"/>
        <v>-1.7799298348148465</v>
      </c>
      <c r="I333" s="9">
        <v>1.7360799999999989E-2</v>
      </c>
      <c r="J333" s="2">
        <v>-1072.8479532163699</v>
      </c>
      <c r="K333" s="13">
        <v>10.4641758241758</v>
      </c>
      <c r="L333" s="9">
        <f t="shared" si="296"/>
        <v>4.5241857142857118E-2</v>
      </c>
      <c r="M333" s="2">
        <f t="shared" si="297"/>
        <v>25073.662073150568</v>
      </c>
      <c r="N333" s="16">
        <f t="shared" si="308"/>
        <v>10.464175824175802</v>
      </c>
    </row>
    <row r="334" spans="1:14" ht="17">
      <c r="A334" s="1" t="s">
        <v>327</v>
      </c>
      <c r="B334" s="6">
        <f t="shared" ref="B334" si="317">C334/11.09%</f>
        <v>256904.74634431471</v>
      </c>
      <c r="C334" s="2">
        <v>28490.736369584502</v>
      </c>
      <c r="D334" s="9">
        <v>7.0428571428571396E-2</v>
      </c>
      <c r="E334" s="2">
        <f t="shared" si="306"/>
        <v>13682.960322052195</v>
      </c>
      <c r="F334" s="9">
        <v>1.6583999999999995E-2</v>
      </c>
      <c r="G334" s="2">
        <f t="shared" si="307"/>
        <v>-23285.54313004182</v>
      </c>
      <c r="H334" s="7">
        <f t="shared" si="295"/>
        <v>-1.7017913216128813</v>
      </c>
      <c r="I334" s="9">
        <v>1.6583999999999995E-2</v>
      </c>
      <c r="J334" s="2">
        <v>-1076.5424836601301</v>
      </c>
      <c r="K334" s="13">
        <v>10.4909340659341</v>
      </c>
      <c r="L334" s="9">
        <f t="shared" si="296"/>
        <v>4.5778571428571412E-2</v>
      </c>
      <c r="M334" s="2">
        <f t="shared" si="297"/>
        <v>13682.960322052195</v>
      </c>
      <c r="N334" s="16">
        <f t="shared" si="308"/>
        <v>10.4909340659341</v>
      </c>
    </row>
    <row r="335" spans="1:14" ht="17">
      <c r="A335" s="1" t="s">
        <v>328</v>
      </c>
      <c r="B335" s="6">
        <f t="shared" ref="B335" si="318">C335/12.01%</f>
        <v>166875.27603902915</v>
      </c>
      <c r="C335" s="2">
        <v>20041.7206522874</v>
      </c>
      <c r="D335" s="9">
        <v>5.96942857142857E-2</v>
      </c>
      <c r="E335" s="2">
        <f t="shared" si="306"/>
        <v>8179.0258832571562</v>
      </c>
      <c r="F335" s="9">
        <v>1.3662399999999996E-2</v>
      </c>
      <c r="G335" s="2">
        <f t="shared" si="307"/>
        <v>-11476.968019645059</v>
      </c>
      <c r="H335" s="7">
        <f t="shared" si="295"/>
        <v>-1.4032194277730485</v>
      </c>
      <c r="I335" s="9">
        <v>1.3662399999999996E-2</v>
      </c>
      <c r="J335" s="2">
        <v>-1080.23701410389</v>
      </c>
      <c r="K335" s="13">
        <v>10.5176923076923</v>
      </c>
      <c r="L335" s="9">
        <f t="shared" si="296"/>
        <v>3.8801285714285705E-2</v>
      </c>
      <c r="M335" s="2">
        <f t="shared" si="297"/>
        <v>8179.0258832571562</v>
      </c>
      <c r="N335" s="16">
        <f t="shared" si="308"/>
        <v>10.517692307692299</v>
      </c>
    </row>
    <row r="336" spans="1:14" ht="17">
      <c r="A336" s="1" t="s">
        <v>329</v>
      </c>
      <c r="B336" s="6">
        <f t="shared" ref="B336" si="319">C336/10.26%</f>
        <v>18290.32143357427</v>
      </c>
      <c r="C336" s="2">
        <v>1876.58697908472</v>
      </c>
      <c r="D336" s="9">
        <v>5.9111428571428599E-2</v>
      </c>
      <c r="E336" s="2">
        <f t="shared" si="306"/>
        <v>760.2868254638355</v>
      </c>
      <c r="F336" s="9">
        <v>1.3583200000000009E-2</v>
      </c>
      <c r="G336" s="2">
        <f t="shared" si="307"/>
        <v>-1061.5915698562467</v>
      </c>
      <c r="H336" s="7">
        <f t="shared" si="295"/>
        <v>-1.3963040451326922</v>
      </c>
      <c r="I336" s="9">
        <v>1.3583200000000009E-2</v>
      </c>
      <c r="J336" s="2">
        <v>-1083.93154454764</v>
      </c>
      <c r="K336" s="13">
        <v>10.5444505494506</v>
      </c>
      <c r="L336" s="9">
        <f t="shared" si="296"/>
        <v>3.8422428571428593E-2</v>
      </c>
      <c r="M336" s="2">
        <f t="shared" si="297"/>
        <v>760.2868254638355</v>
      </c>
      <c r="N336" s="16">
        <f t="shared" si="308"/>
        <v>10.544450549450602</v>
      </c>
    </row>
    <row r="337" spans="1:14" ht="17">
      <c r="A337" s="1" t="s">
        <v>330</v>
      </c>
      <c r="B337" s="6">
        <f t="shared" ref="B337" si="320">C337/11.36%</f>
        <v>454564.21940723946</v>
      </c>
      <c r="C337" s="2">
        <v>51638.495324662399</v>
      </c>
      <c r="D337" s="9">
        <v>6.1345714285714302E-2</v>
      </c>
      <c r="E337" s="2">
        <f t="shared" si="306"/>
        <v>21766.861499076815</v>
      </c>
      <c r="F337" s="9">
        <v>1.6336800000000005E-2</v>
      </c>
      <c r="G337" s="2">
        <f t="shared" si="307"/>
        <v>-36586.23894956812</v>
      </c>
      <c r="H337" s="7">
        <f t="shared" si="295"/>
        <v>-1.680822885335115</v>
      </c>
      <c r="I337" s="9">
        <v>1.6336800000000005E-2</v>
      </c>
      <c r="J337" s="2">
        <v>-1087.6260749913999</v>
      </c>
      <c r="K337" s="13">
        <v>10.5712087912088</v>
      </c>
      <c r="L337" s="9">
        <f t="shared" si="296"/>
        <v>3.9874714285714298E-2</v>
      </c>
      <c r="M337" s="2">
        <f t="shared" si="297"/>
        <v>21766.861499076815</v>
      </c>
      <c r="N337" s="16">
        <f t="shared" si="308"/>
        <v>10.5712087912088</v>
      </c>
    </row>
    <row r="338" spans="1:14" ht="17">
      <c r="A338" s="1" t="s">
        <v>331</v>
      </c>
      <c r="B338" s="6">
        <f t="shared" ref="B338" si="321">C338/9.31%</f>
        <v>60787.532434362292</v>
      </c>
      <c r="C338" s="2">
        <v>5659.3192696391297</v>
      </c>
      <c r="D338" s="9">
        <v>6.21714285714286E-2</v>
      </c>
      <c r="E338" s="2">
        <f t="shared" si="306"/>
        <v>2423.7675281839834</v>
      </c>
      <c r="F338" s="9">
        <v>1.483200000000001E-2</v>
      </c>
      <c r="G338" s="2">
        <f t="shared" si="307"/>
        <v>-3701.8640953836402</v>
      </c>
      <c r="H338" s="7">
        <f t="shared" si="295"/>
        <v>-1.5273181327572596</v>
      </c>
      <c r="I338" s="9">
        <v>1.483200000000001E-2</v>
      </c>
      <c r="J338" s="2">
        <v>-1091.3206054351499</v>
      </c>
      <c r="K338" s="13">
        <v>10.597967032967</v>
      </c>
      <c r="L338" s="9">
        <f t="shared" si="296"/>
        <v>4.0411428571428591E-2</v>
      </c>
      <c r="M338" s="2">
        <f t="shared" si="297"/>
        <v>2423.7675281839834</v>
      </c>
      <c r="N338" s="16">
        <f t="shared" si="308"/>
        <v>10.597967032967</v>
      </c>
    </row>
    <row r="339" spans="1:14" ht="17">
      <c r="A339" s="1" t="s">
        <v>332</v>
      </c>
      <c r="B339" s="6">
        <f t="shared" ref="B339:B340" si="322">C339/12.1%</f>
        <v>323271.20748536533</v>
      </c>
      <c r="C339" s="2">
        <v>39115.816105729202</v>
      </c>
      <c r="D339" s="9">
        <v>6.2997142857142904E-2</v>
      </c>
      <c r="E339" s="2">
        <f t="shared" si="306"/>
        <v>17017.835241906658</v>
      </c>
      <c r="F339" s="9">
        <v>1.4895200000000013E-2</v>
      </c>
      <c r="G339" s="2">
        <f t="shared" si="307"/>
        <v>-26124.805552537306</v>
      </c>
      <c r="H339" s="7">
        <f t="shared" si="295"/>
        <v>-1.5351427006535241</v>
      </c>
      <c r="I339" s="9">
        <v>1.4895200000000013E-2</v>
      </c>
      <c r="J339" s="2">
        <v>-1095.0151358789101</v>
      </c>
      <c r="K339" s="13">
        <v>10.6247252747253</v>
      </c>
      <c r="L339" s="9">
        <f t="shared" si="296"/>
        <v>4.0948142857142891E-2</v>
      </c>
      <c r="M339" s="2">
        <f t="shared" si="297"/>
        <v>17017.835241906658</v>
      </c>
      <c r="N339" s="16">
        <f t="shared" si="308"/>
        <v>10.6247252747253</v>
      </c>
    </row>
    <row r="340" spans="1:14" ht="17">
      <c r="A340" s="1" t="s">
        <v>333</v>
      </c>
      <c r="B340" s="6">
        <f t="shared" si="322"/>
        <v>212459.24176240416</v>
      </c>
      <c r="C340" s="2">
        <v>25707.568253250902</v>
      </c>
      <c r="D340" s="9">
        <v>6.3500000000000001E-2</v>
      </c>
      <c r="E340" s="2">
        <f t="shared" si="306"/>
        <v>11302.074847795489</v>
      </c>
      <c r="F340" s="9">
        <v>1.5344000000000002E-2</v>
      </c>
      <c r="G340" s="2">
        <f t="shared" si="307"/>
        <v>-17888.322447584782</v>
      </c>
      <c r="H340" s="7">
        <f t="shared" si="295"/>
        <v>-1.5827467689327825</v>
      </c>
      <c r="I340" s="9">
        <v>1.5344000000000002E-2</v>
      </c>
      <c r="J340" s="2">
        <v>-1098.70966632267</v>
      </c>
      <c r="K340" s="13">
        <v>10.6514835164835</v>
      </c>
      <c r="L340" s="9">
        <f t="shared" si="296"/>
        <v>4.1274999999999999E-2</v>
      </c>
      <c r="M340" s="2">
        <f t="shared" si="297"/>
        <v>11302.074847795489</v>
      </c>
      <c r="N340" s="16">
        <f t="shared" si="308"/>
        <v>10.6514835164835</v>
      </c>
    </row>
    <row r="341" spans="1:14" ht="17">
      <c r="A341" s="1" t="s">
        <v>334</v>
      </c>
      <c r="B341" s="6">
        <f t="shared" ref="B341" si="323">C341/11.09%</f>
        <v>116687.88846744635</v>
      </c>
      <c r="C341" s="2">
        <v>12940.6868310398</v>
      </c>
      <c r="D341" s="9">
        <v>7.3499999999999996E-2</v>
      </c>
      <c r="E341" s="2">
        <f t="shared" si="306"/>
        <v>6601.7302089154728</v>
      </c>
      <c r="F341" s="9">
        <v>1.7836000000000005E-2</v>
      </c>
      <c r="G341" s="2">
        <f t="shared" si="307"/>
        <v>-12156.158233957131</v>
      </c>
      <c r="H341" s="7">
        <f t="shared" si="295"/>
        <v>-1.8413594390059351</v>
      </c>
      <c r="I341" s="9">
        <v>1.7836000000000005E-2</v>
      </c>
      <c r="J341" s="2">
        <v>-1102.40419676642</v>
      </c>
      <c r="K341" s="13">
        <v>10.6782417582418</v>
      </c>
      <c r="L341" s="9">
        <f t="shared" si="296"/>
        <v>4.7774999999999998E-2</v>
      </c>
      <c r="M341" s="2">
        <f t="shared" si="297"/>
        <v>6601.7302089154728</v>
      </c>
      <c r="N341" s="16">
        <f t="shared" si="308"/>
        <v>10.6782417582418</v>
      </c>
    </row>
    <row r="342" spans="1:14" ht="17">
      <c r="A342" s="1" t="s">
        <v>335</v>
      </c>
      <c r="B342" s="6">
        <f t="shared" ref="B342" si="324">C342/12.01%</f>
        <v>178663.72125905578</v>
      </c>
      <c r="C342" s="2">
        <v>21457.512923212598</v>
      </c>
      <c r="D342" s="9">
        <v>7.9799999999999996E-2</v>
      </c>
      <c r="E342" s="2">
        <f t="shared" si="306"/>
        <v>11914.677795975937</v>
      </c>
      <c r="F342" s="9">
        <v>2.0216000000000001E-2</v>
      </c>
      <c r="G342" s="2">
        <f t="shared" si="307"/>
        <v>-24887.699379088386</v>
      </c>
      <c r="H342" s="7">
        <f t="shared" si="295"/>
        <v>-2.0888268911051844</v>
      </c>
      <c r="I342" s="9">
        <v>2.0216000000000001E-2</v>
      </c>
      <c r="J342" s="2">
        <v>-1106.09872721018</v>
      </c>
      <c r="K342" s="13">
        <v>10.705</v>
      </c>
      <c r="L342" s="9">
        <f t="shared" si="296"/>
        <v>5.1869999999999999E-2</v>
      </c>
      <c r="M342" s="2">
        <f t="shared" si="297"/>
        <v>11914.677795975937</v>
      </c>
      <c r="N342" s="16">
        <f t="shared" si="308"/>
        <v>10.705</v>
      </c>
    </row>
    <row r="343" spans="1:14" ht="17">
      <c r="A343" s="1" t="s">
        <v>336</v>
      </c>
      <c r="B343" s="6">
        <f t="shared" ref="B343" si="325">C343/10.26%</f>
        <v>90485.308634350891</v>
      </c>
      <c r="C343" s="2">
        <v>9283.7926658844008</v>
      </c>
      <c r="D343" s="9">
        <v>6.8699999999999997E-2</v>
      </c>
      <c r="E343" s="2">
        <f t="shared" si="306"/>
        <v>4449.0409911919432</v>
      </c>
      <c r="F343" s="9">
        <v>1.6100000000000003E-2</v>
      </c>
      <c r="G343" s="2">
        <f t="shared" si="307"/>
        <v>-7407.3605554214009</v>
      </c>
      <c r="H343" s="7">
        <f t="shared" si="295"/>
        <v>-1.6649342116843238</v>
      </c>
      <c r="I343" s="9">
        <v>1.6100000000000003E-2</v>
      </c>
      <c r="J343" s="2">
        <v>-1109.7932576539399</v>
      </c>
      <c r="K343" s="13">
        <v>10.7317582417582</v>
      </c>
      <c r="L343" s="9">
        <f t="shared" si="296"/>
        <v>4.4655E-2</v>
      </c>
      <c r="M343" s="2">
        <f t="shared" si="297"/>
        <v>4449.0409911919432</v>
      </c>
      <c r="N343" s="16">
        <f t="shared" si="308"/>
        <v>10.731758241758202</v>
      </c>
    </row>
    <row r="344" spans="1:14" ht="17">
      <c r="A344" s="1" t="s">
        <v>337</v>
      </c>
      <c r="B344" s="6">
        <f t="shared" ref="B344" si="326">C344/11.36%</f>
        <v>389985.77216391818</v>
      </c>
      <c r="C344" s="2">
        <v>44302.383717821103</v>
      </c>
      <c r="D344" s="9">
        <v>5.9900000000000002E-2</v>
      </c>
      <c r="E344" s="2">
        <f t="shared" si="306"/>
        <v>18557.508278846133</v>
      </c>
      <c r="F344" s="9">
        <v>1.3720000000000001E-2</v>
      </c>
      <c r="G344" s="2">
        <f t="shared" si="307"/>
        <v>-26351.591114046165</v>
      </c>
      <c r="H344" s="7">
        <f t="shared" si="295"/>
        <v>-1.4199961933512688</v>
      </c>
      <c r="I344" s="9">
        <v>1.3720000000000001E-2</v>
      </c>
      <c r="J344" s="2">
        <v>-1113.4877880976901</v>
      </c>
      <c r="K344" s="13">
        <v>10.7585164835165</v>
      </c>
      <c r="L344" s="9">
        <f t="shared" si="296"/>
        <v>3.8935000000000004E-2</v>
      </c>
      <c r="M344" s="2">
        <f t="shared" si="297"/>
        <v>18557.508278846133</v>
      </c>
      <c r="N344" s="16">
        <f t="shared" si="308"/>
        <v>10.758516483516502</v>
      </c>
    </row>
    <row r="345" spans="1:14" ht="17">
      <c r="A345" s="1" t="s">
        <v>338</v>
      </c>
      <c r="B345" s="6">
        <f t="shared" ref="B345" si="327">C345/9.31%</f>
        <v>387668.75986660045</v>
      </c>
      <c r="C345" s="2">
        <v>36091.961543580503</v>
      </c>
      <c r="D345" s="9">
        <v>8.1100000000000005E-2</v>
      </c>
      <c r="E345" s="2">
        <f t="shared" si="306"/>
        <v>20519.931602565815</v>
      </c>
      <c r="F345" s="9">
        <v>1.9740000000000001E-2</v>
      </c>
      <c r="G345" s="2">
        <f t="shared" si="307"/>
        <v>-41958.108214174012</v>
      </c>
      <c r="H345" s="7">
        <f t="shared" si="295"/>
        <v>-2.0447489312745839</v>
      </c>
      <c r="I345" s="9">
        <v>1.9740000000000001E-2</v>
      </c>
      <c r="J345" s="2">
        <v>-1117.1823185414501</v>
      </c>
      <c r="K345" s="13">
        <v>10.7852747252747</v>
      </c>
      <c r="L345" s="9">
        <f t="shared" si="296"/>
        <v>5.2715000000000005E-2</v>
      </c>
      <c r="M345" s="2">
        <f t="shared" si="297"/>
        <v>20519.931602565815</v>
      </c>
      <c r="N345" s="16">
        <f t="shared" si="308"/>
        <v>10.7852747252747</v>
      </c>
    </row>
    <row r="346" spans="1:14" ht="17">
      <c r="A346" s="1" t="s">
        <v>339</v>
      </c>
      <c r="B346" s="6">
        <f t="shared" ref="B346:B347" si="328">C346/12.1%</f>
        <v>229324.00304202811</v>
      </c>
      <c r="C346" s="2">
        <v>27748.2043680854</v>
      </c>
      <c r="D346" s="9">
        <v>8.3500000000000005E-2</v>
      </c>
      <c r="E346" s="2">
        <f t="shared" si="306"/>
        <v>16283.287009411277</v>
      </c>
      <c r="F346" s="9">
        <v>2.2540000000000001E-2</v>
      </c>
      <c r="G346" s="2">
        <f t="shared" si="307"/>
        <v>-38049.287391365826</v>
      </c>
      <c r="H346" s="7">
        <f t="shared" si="295"/>
        <v>-2.3367080227336423</v>
      </c>
      <c r="I346" s="9">
        <v>2.2540000000000001E-2</v>
      </c>
      <c r="J346" s="2">
        <v>-1120.87684898521</v>
      </c>
      <c r="K346" s="13">
        <v>10.812032967033</v>
      </c>
      <c r="L346" s="9">
        <f t="shared" si="296"/>
        <v>5.4275000000000004E-2</v>
      </c>
      <c r="M346" s="2">
        <f t="shared" si="297"/>
        <v>16283.287009411277</v>
      </c>
      <c r="N346" s="16">
        <f t="shared" si="308"/>
        <v>10.812032967032998</v>
      </c>
    </row>
    <row r="347" spans="1:14" ht="17">
      <c r="A347" s="1" t="s">
        <v>340</v>
      </c>
      <c r="B347" s="6">
        <f t="shared" si="328"/>
        <v>45009.470568979006</v>
      </c>
      <c r="C347" s="2">
        <v>5446.14593884646</v>
      </c>
      <c r="D347" s="9">
        <v>8.9800000000000005E-2</v>
      </c>
      <c r="E347" s="2">
        <f t="shared" si="306"/>
        <v>3445.5600123060412</v>
      </c>
      <c r="F347" s="9">
        <v>2.2568000000000005E-2</v>
      </c>
      <c r="G347" s="2">
        <f t="shared" si="307"/>
        <v>-8067.873270202308</v>
      </c>
      <c r="H347" s="7">
        <f t="shared" si="295"/>
        <v>-2.3415274270038471</v>
      </c>
      <c r="I347" s="9">
        <v>2.2568000000000005E-2</v>
      </c>
      <c r="J347" s="2">
        <v>-1124.57137942896</v>
      </c>
      <c r="K347" s="13">
        <v>10.8387912087912</v>
      </c>
      <c r="L347" s="9">
        <f t="shared" si="296"/>
        <v>5.8370000000000005E-2</v>
      </c>
      <c r="M347" s="2">
        <f t="shared" si="297"/>
        <v>3445.5600123060412</v>
      </c>
      <c r="N347" s="16">
        <f t="shared" si="308"/>
        <v>10.8387912087912</v>
      </c>
    </row>
    <row r="348" spans="1:14" ht="17">
      <c r="A348" s="1" t="s">
        <v>341</v>
      </c>
      <c r="B348" s="6">
        <f t="shared" ref="B348" si="329">C348/11.09%</f>
        <v>77056.236483919842</v>
      </c>
      <c r="C348" s="2">
        <v>8545.5366260667106</v>
      </c>
      <c r="D348" s="9">
        <v>8.8700000000000001E-2</v>
      </c>
      <c r="E348" s="2">
        <f t="shared" si="306"/>
        <v>5353.3792229133242</v>
      </c>
      <c r="F348" s="9">
        <v>2.2092000000000001E-2</v>
      </c>
      <c r="G348" s="2">
        <f t="shared" si="307"/>
        <v>-12280.691373167958</v>
      </c>
      <c r="H348" s="7">
        <f t="shared" si="295"/>
        <v>-2.2940073665255438</v>
      </c>
      <c r="I348" s="9">
        <v>2.2092000000000001E-2</v>
      </c>
      <c r="J348" s="2">
        <v>-1128.2659098727199</v>
      </c>
      <c r="K348" s="13">
        <v>10.8655494505495</v>
      </c>
      <c r="L348" s="9">
        <f t="shared" si="296"/>
        <v>5.7655000000000005E-2</v>
      </c>
      <c r="M348" s="2">
        <f t="shared" si="297"/>
        <v>5353.3792229133242</v>
      </c>
      <c r="N348" s="16">
        <f t="shared" si="308"/>
        <v>10.8655494505495</v>
      </c>
    </row>
    <row r="349" spans="1:14" ht="17">
      <c r="A349" s="1" t="s">
        <v>342</v>
      </c>
      <c r="B349" s="6">
        <f t="shared" ref="B349" si="330">C349/12.01%</f>
        <v>253722.29144211824</v>
      </c>
      <c r="C349" s="2">
        <v>30472.047202198399</v>
      </c>
      <c r="D349" s="9">
        <v>5.9900000000000002E-2</v>
      </c>
      <c r="E349" s="2">
        <f t="shared" si="306"/>
        <v>12922.951442074735</v>
      </c>
      <c r="F349" s="9">
        <v>1.4336000000000002E-2</v>
      </c>
      <c r="G349" s="2">
        <f t="shared" si="307"/>
        <v>-19253.117139379421</v>
      </c>
      <c r="H349" s="7">
        <f t="shared" si="295"/>
        <v>-1.4898390066447855</v>
      </c>
      <c r="I349" s="9">
        <v>1.4336000000000002E-2</v>
      </c>
      <c r="J349" s="2">
        <v>-1131.9604403164799</v>
      </c>
      <c r="K349" s="13">
        <v>10.8923076923077</v>
      </c>
      <c r="L349" s="9">
        <f t="shared" si="296"/>
        <v>3.8935000000000004E-2</v>
      </c>
      <c r="M349" s="2">
        <f t="shared" si="297"/>
        <v>12922.951442074735</v>
      </c>
      <c r="N349" s="16">
        <f t="shared" si="308"/>
        <v>10.892307692307698</v>
      </c>
    </row>
    <row r="350" spans="1:14" ht="17">
      <c r="A350" s="1" t="s">
        <v>343</v>
      </c>
      <c r="B350" s="6">
        <f t="shared" ref="B350" si="331">C350/10.26%</f>
        <v>255530.93125537524</v>
      </c>
      <c r="C350" s="2">
        <v>26217.473546801499</v>
      </c>
      <c r="D350" s="9">
        <v>8.1100000000000005E-2</v>
      </c>
      <c r="E350" s="2">
        <f t="shared" si="306"/>
        <v>15090.740039103757</v>
      </c>
      <c r="F350" s="9">
        <v>1.9964000000000003E-2</v>
      </c>
      <c r="G350" s="2">
        <f t="shared" si="307"/>
        <v>-31334.22926112944</v>
      </c>
      <c r="H350" s="7">
        <f t="shared" si="295"/>
        <v>-2.0763878497631576</v>
      </c>
      <c r="I350" s="9">
        <v>1.9964000000000003E-2</v>
      </c>
      <c r="J350" s="2">
        <v>-1135.6549707602301</v>
      </c>
      <c r="K350" s="13">
        <v>10.9190659340659</v>
      </c>
      <c r="L350" s="9">
        <f t="shared" si="296"/>
        <v>5.2715000000000005E-2</v>
      </c>
      <c r="M350" s="2">
        <f t="shared" si="297"/>
        <v>15090.740039103757</v>
      </c>
      <c r="N350" s="16">
        <f t="shared" si="308"/>
        <v>10.9190659340659</v>
      </c>
    </row>
    <row r="351" spans="1:14" ht="17">
      <c r="A351" s="1" t="s">
        <v>344</v>
      </c>
      <c r="B351" s="6">
        <f t="shared" ref="B351" si="332">C351/11.36%</f>
        <v>263201.53910270252</v>
      </c>
      <c r="C351" s="2">
        <v>29899.694842067001</v>
      </c>
      <c r="D351" s="9">
        <v>7.4399999999999994E-2</v>
      </c>
      <c r="E351" s="2">
        <f t="shared" si="306"/>
        <v>15827.106176253772</v>
      </c>
      <c r="F351" s="9">
        <v>1.8704000000000002E-2</v>
      </c>
      <c r="G351" s="2">
        <f t="shared" si="307"/>
        <v>-30813.74671902374</v>
      </c>
      <c r="H351" s="7">
        <f t="shared" si="295"/>
        <v>-1.9468970749217063</v>
      </c>
      <c r="I351" s="9">
        <v>1.8704000000000002E-2</v>
      </c>
      <c r="J351" s="2">
        <v>-1139.34950120399</v>
      </c>
      <c r="K351" s="13">
        <v>10.9458241758242</v>
      </c>
      <c r="L351" s="9">
        <f t="shared" si="296"/>
        <v>4.836E-2</v>
      </c>
      <c r="M351" s="2">
        <f t="shared" si="297"/>
        <v>15827.106176253772</v>
      </c>
      <c r="N351" s="16">
        <f t="shared" si="308"/>
        <v>10.9458241758242</v>
      </c>
    </row>
    <row r="352" spans="1:14" ht="17">
      <c r="A352" s="1" t="s">
        <v>345</v>
      </c>
      <c r="B352" s="6">
        <f t="shared" ref="B352" si="333">C352/9.31%</f>
        <v>359203.32674386032</v>
      </c>
      <c r="C352" s="2">
        <v>33441.829719853398</v>
      </c>
      <c r="D352" s="9">
        <v>8.0860000000000001E-2</v>
      </c>
      <c r="E352" s="2">
        <f t="shared" si="306"/>
        <v>19286.169372516972</v>
      </c>
      <c r="F352" s="9">
        <v>1.9504800000000003E-2</v>
      </c>
      <c r="G352" s="2">
        <f t="shared" si="307"/>
        <v>-39186.961177122248</v>
      </c>
      <c r="H352" s="7">
        <f t="shared" si="295"/>
        <v>-2.0318685592880952</v>
      </c>
      <c r="I352" s="9">
        <v>1.9504800000000003E-2</v>
      </c>
      <c r="J352" s="2">
        <v>-1143.04403164775</v>
      </c>
      <c r="K352" s="13">
        <v>10.9725824175824</v>
      </c>
      <c r="L352" s="9">
        <f t="shared" si="296"/>
        <v>5.2559000000000002E-2</v>
      </c>
      <c r="M352" s="2">
        <f t="shared" si="297"/>
        <v>19286.169372516972</v>
      </c>
      <c r="N352" s="16">
        <f t="shared" si="308"/>
        <v>10.972582417582402</v>
      </c>
    </row>
    <row r="353" spans="1:14" ht="17">
      <c r="A353" s="1" t="s">
        <v>346</v>
      </c>
      <c r="B353" s="6">
        <f t="shared" ref="B353:B354" si="334">C353/12.1%</f>
        <v>270333.35033206944</v>
      </c>
      <c r="C353" s="2">
        <v>32710.3353901804</v>
      </c>
      <c r="D353" s="9">
        <v>7.0277142857142899E-2</v>
      </c>
      <c r="E353" s="2">
        <f t="shared" si="306"/>
        <v>16435.355533565049</v>
      </c>
      <c r="F353" s="9">
        <v>1.6625600000000015E-2</v>
      </c>
      <c r="G353" s="2">
        <f t="shared" si="307"/>
        <v>-28487.490611755184</v>
      </c>
      <c r="H353" s="7">
        <f t="shared" si="295"/>
        <v>-1.7333054069671145</v>
      </c>
      <c r="I353" s="9">
        <v>1.6625600000000015E-2</v>
      </c>
      <c r="J353" s="2">
        <v>-1146.7385620914999</v>
      </c>
      <c r="K353" s="13">
        <v>10.999340659340699</v>
      </c>
      <c r="L353" s="9">
        <f t="shared" si="296"/>
        <v>4.5680142857142884E-2</v>
      </c>
      <c r="M353" s="2">
        <f t="shared" si="297"/>
        <v>16435.355533565049</v>
      </c>
      <c r="N353" s="16">
        <f t="shared" si="308"/>
        <v>10.999340659340699</v>
      </c>
    </row>
    <row r="354" spans="1:14" ht="17">
      <c r="A354" s="1" t="s">
        <v>347</v>
      </c>
      <c r="B354" s="6">
        <f t="shared" si="334"/>
        <v>191374.91347540496</v>
      </c>
      <c r="C354" s="2">
        <v>23156.364530523999</v>
      </c>
      <c r="D354" s="9">
        <v>8.9694285714285699E-2</v>
      </c>
      <c r="E354" s="2">
        <f t="shared" si="306"/>
        <v>14885.738783035713</v>
      </c>
      <c r="F354" s="9">
        <v>2.3718311111111123E-2</v>
      </c>
      <c r="G354" s="2">
        <f t="shared" si="307"/>
        <v>-36837.795886822641</v>
      </c>
      <c r="H354" s="7">
        <f t="shared" si="295"/>
        <v>-2.4747039044379999</v>
      </c>
      <c r="I354" s="9">
        <v>2.3718311111111123E-2</v>
      </c>
      <c r="J354" s="2">
        <v>-1150.4330925352599</v>
      </c>
      <c r="K354" s="13">
        <v>11.0260989010989</v>
      </c>
      <c r="L354" s="9">
        <f t="shared" si="296"/>
        <v>5.8301285714285708E-2</v>
      </c>
      <c r="M354" s="2">
        <f t="shared" si="297"/>
        <v>14885.738783035713</v>
      </c>
      <c r="N354" s="16">
        <f t="shared" si="308"/>
        <v>11.0260989010989</v>
      </c>
    </row>
    <row r="355" spans="1:14" ht="17">
      <c r="A355" s="1" t="s">
        <v>348</v>
      </c>
      <c r="B355" s="6">
        <f t="shared" ref="B355" si="335">C355/11.09%</f>
        <v>54530.611976735796</v>
      </c>
      <c r="C355" s="2">
        <v>6047.44486822</v>
      </c>
      <c r="D355" s="9">
        <v>7.7722539682539699E-2</v>
      </c>
      <c r="E355" s="2">
        <f t="shared" si="306"/>
        <v>3376.8114718833945</v>
      </c>
      <c r="F355" s="9">
        <v>2.0922311111111116E-2</v>
      </c>
      <c r="G355" s="2">
        <f t="shared" si="307"/>
        <v>-7377.2711982706387</v>
      </c>
      <c r="H355" s="7">
        <f t="shared" si="295"/>
        <v>-2.1846855412854937</v>
      </c>
      <c r="I355" s="9">
        <v>2.0922311111111116E-2</v>
      </c>
      <c r="J355" s="2">
        <v>-1154.1276229790101</v>
      </c>
      <c r="K355" s="13">
        <v>11.0528571428571</v>
      </c>
      <c r="L355" s="9">
        <f t="shared" si="296"/>
        <v>5.0519650793650804E-2</v>
      </c>
      <c r="M355" s="2">
        <f t="shared" si="297"/>
        <v>3376.8114718833945</v>
      </c>
      <c r="N355" s="16">
        <f t="shared" si="308"/>
        <v>11.052857142857102</v>
      </c>
    </row>
    <row r="356" spans="1:14" ht="17">
      <c r="A356" s="1" t="s">
        <v>349</v>
      </c>
      <c r="B356" s="6">
        <f t="shared" ref="B356" si="336">C356/12.01%</f>
        <v>48492.780952439884</v>
      </c>
      <c r="C356" s="2">
        <v>5823.9829923880297</v>
      </c>
      <c r="D356" s="9">
        <v>7.8639682539682607E-2</v>
      </c>
      <c r="E356" s="2">
        <f t="shared" si="306"/>
        <v>3298.3739434967897</v>
      </c>
      <c r="F356" s="9">
        <v>1.9443111111111133E-2</v>
      </c>
      <c r="G356" s="2">
        <f t="shared" si="307"/>
        <v>-6701.6666142293725</v>
      </c>
      <c r="H356" s="7">
        <f t="shared" si="295"/>
        <v>-2.0318092275263862</v>
      </c>
      <c r="I356" s="9">
        <v>1.9443111111111133E-2</v>
      </c>
      <c r="J356" s="2">
        <v>-1157.82215342277</v>
      </c>
      <c r="K356" s="13">
        <v>11.0796153846154</v>
      </c>
      <c r="L356" s="9">
        <f t="shared" si="296"/>
        <v>5.1115793650793696E-2</v>
      </c>
      <c r="M356" s="2">
        <f t="shared" si="297"/>
        <v>3298.3739434967897</v>
      </c>
      <c r="N356" s="16">
        <f t="shared" si="308"/>
        <v>11.0796153846154</v>
      </c>
    </row>
    <row r="357" spans="1:14" ht="17">
      <c r="A357" s="1" t="s">
        <v>350</v>
      </c>
      <c r="B357" s="6">
        <f t="shared" ref="B357" si="337">C357/10.26%</f>
        <v>70626.868113945326</v>
      </c>
      <c r="C357" s="2">
        <v>7246.3166684907901</v>
      </c>
      <c r="D357" s="9">
        <v>7.9556825396825404E-2</v>
      </c>
      <c r="E357" s="2">
        <f t="shared" si="306"/>
        <v>4161.7921810775324</v>
      </c>
      <c r="F357" s="9">
        <v>1.9531911111111112E-2</v>
      </c>
      <c r="G357" s="2">
        <f t="shared" si="307"/>
        <v>-8501.1621918591609</v>
      </c>
      <c r="H357" s="7">
        <f t="shared" si="295"/>
        <v>-2.0426685961186366</v>
      </c>
      <c r="I357" s="9">
        <v>1.9531911111111112E-2</v>
      </c>
      <c r="J357" s="2">
        <v>-1161.51668386653</v>
      </c>
      <c r="K357" s="13">
        <v>11.1063736263736</v>
      </c>
      <c r="L357" s="9">
        <f t="shared" si="296"/>
        <v>5.1711936507936512E-2</v>
      </c>
      <c r="M357" s="2">
        <f t="shared" si="297"/>
        <v>4161.7921810775324</v>
      </c>
      <c r="N357" s="16">
        <f t="shared" si="308"/>
        <v>11.1063736263736</v>
      </c>
    </row>
    <row r="358" spans="1:14" ht="17">
      <c r="A358" s="1" t="s">
        <v>351</v>
      </c>
      <c r="B358" s="6">
        <f t="shared" ref="B358" si="338">C358/11.36%</f>
        <v>278987.34568241553</v>
      </c>
      <c r="C358" s="2">
        <v>31692.962469522401</v>
      </c>
      <c r="D358" s="9">
        <v>8.0473968253968298E-2</v>
      </c>
      <c r="E358" s="2">
        <f t="shared" si="306"/>
        <v>18456.483702088331</v>
      </c>
      <c r="F358" s="9">
        <v>2.0096711111111127E-2</v>
      </c>
      <c r="G358" s="2">
        <f t="shared" si="307"/>
        <v>-38820.51170886503</v>
      </c>
      <c r="H358" s="7">
        <f t="shared" si="295"/>
        <v>-2.1033536146688943</v>
      </c>
      <c r="I358" s="9">
        <v>2.0096711111111127E-2</v>
      </c>
      <c r="J358" s="2">
        <v>-1165.21121431028</v>
      </c>
      <c r="K358" s="13">
        <v>11.133131868131899</v>
      </c>
      <c r="L358" s="9">
        <f t="shared" si="296"/>
        <v>5.2308079365079398E-2</v>
      </c>
      <c r="M358" s="2">
        <f t="shared" si="297"/>
        <v>18456.483702088331</v>
      </c>
      <c r="N358" s="16">
        <f t="shared" si="308"/>
        <v>11.133131868131899</v>
      </c>
    </row>
    <row r="359" spans="1:14" ht="17">
      <c r="A359" s="1" t="s">
        <v>352</v>
      </c>
      <c r="B359" s="6">
        <f t="shared" ref="B359" si="339">C359/9.31%</f>
        <v>67557.123723513752</v>
      </c>
      <c r="C359" s="2">
        <v>6289.5682186591303</v>
      </c>
      <c r="D359" s="9">
        <v>8.1391111111111095E-2</v>
      </c>
      <c r="E359" s="2">
        <f t="shared" si="306"/>
        <v>3713.3944509416719</v>
      </c>
      <c r="F359" s="9">
        <v>2.0045511111111112E-2</v>
      </c>
      <c r="G359" s="2">
        <f t="shared" si="307"/>
        <v>-7796.6455911222038</v>
      </c>
      <c r="H359" s="7">
        <f t="shared" si="295"/>
        <v>-2.0996007006864215</v>
      </c>
      <c r="I359" s="9">
        <v>2.0045511111111112E-2</v>
      </c>
      <c r="J359" s="2">
        <v>-1168.9057447540399</v>
      </c>
      <c r="K359" s="13">
        <v>11.1598901098901</v>
      </c>
      <c r="L359" s="9">
        <f t="shared" si="296"/>
        <v>5.2904222222222214E-2</v>
      </c>
      <c r="M359" s="2">
        <f t="shared" si="297"/>
        <v>3713.3944509416719</v>
      </c>
      <c r="N359" s="16">
        <f t="shared" si="308"/>
        <v>11.1598901098901</v>
      </c>
    </row>
    <row r="360" spans="1:14" ht="17">
      <c r="A360" s="1" t="s">
        <v>353</v>
      </c>
      <c r="B360" s="6">
        <f t="shared" ref="B360:B361" si="340">C360/12.1%</f>
        <v>45464.146842607355</v>
      </c>
      <c r="C360" s="2">
        <v>5501.1617679554902</v>
      </c>
      <c r="D360" s="9">
        <v>8.2308253968254003E-2</v>
      </c>
      <c r="E360" s="2">
        <f t="shared" si="306"/>
        <v>3292.3890457896064</v>
      </c>
      <c r="F360" s="9">
        <v>2.0918311111111119E-2</v>
      </c>
      <c r="G360" s="2">
        <f t="shared" si="307"/>
        <v>-7219.1783510072009</v>
      </c>
      <c r="H360" s="7">
        <f t="shared" si="295"/>
        <v>-2.1926869062571073</v>
      </c>
      <c r="I360" s="9">
        <v>2.0918311111111119E-2</v>
      </c>
      <c r="J360" s="2">
        <v>-1172.6002751978001</v>
      </c>
      <c r="K360" s="13">
        <v>11.186648351648399</v>
      </c>
      <c r="L360" s="9">
        <f t="shared" si="296"/>
        <v>5.3500365079365106E-2</v>
      </c>
      <c r="M360" s="2">
        <f t="shared" si="297"/>
        <v>3292.3890457896064</v>
      </c>
      <c r="N360" s="16">
        <f t="shared" si="308"/>
        <v>11.186648351648399</v>
      </c>
    </row>
    <row r="361" spans="1:14" ht="17">
      <c r="A361" s="1" t="s">
        <v>354</v>
      </c>
      <c r="B361" s="6">
        <f t="shared" si="340"/>
        <v>23238.182003242644</v>
      </c>
      <c r="C361" s="2">
        <v>2811.82002239236</v>
      </c>
      <c r="D361" s="9">
        <v>8.32253968253968E-2</v>
      </c>
      <c r="E361" s="2">
        <f t="shared" si="306"/>
        <v>1705.6672867150987</v>
      </c>
      <c r="F361" s="9">
        <v>2.0167111111111104E-2</v>
      </c>
      <c r="G361" s="2">
        <f t="shared" si="307"/>
        <v>-3608.4161728287395</v>
      </c>
      <c r="H361" s="7">
        <f t="shared" si="295"/>
        <v>-2.1155451599110497</v>
      </c>
      <c r="I361" s="9">
        <v>2.0167111111111104E-2</v>
      </c>
      <c r="J361" s="2">
        <v>-1176.2948056415501</v>
      </c>
      <c r="K361" s="13">
        <v>11.213406593406599</v>
      </c>
      <c r="L361" s="9">
        <f t="shared" si="296"/>
        <v>5.4096507936507922E-2</v>
      </c>
      <c r="M361" s="2">
        <f t="shared" si="297"/>
        <v>1705.6672867150987</v>
      </c>
      <c r="N361" s="16">
        <f t="shared" si="308"/>
        <v>11.213406593406598</v>
      </c>
    </row>
    <row r="362" spans="1:14" ht="17">
      <c r="A362" s="1" t="s">
        <v>355</v>
      </c>
      <c r="B362" s="6">
        <f t="shared" ref="B362" si="341">C362/11.09%</f>
        <v>61868.475011508832</v>
      </c>
      <c r="C362" s="2">
        <v>6861.2138787763297</v>
      </c>
      <c r="D362" s="9">
        <v>8.4142539682539694E-2</v>
      </c>
      <c r="E362" s="2">
        <f t="shared" si="306"/>
        <v>4217.961491253398</v>
      </c>
      <c r="F362" s="9">
        <v>2.0507911111111117E-2</v>
      </c>
      <c r="G362" s="2">
        <f t="shared" si="307"/>
        <v>-9080.9114158016582</v>
      </c>
      <c r="H362" s="7">
        <f t="shared" si="295"/>
        <v>-2.1529147277973841</v>
      </c>
      <c r="I362" s="9">
        <v>2.0507911111111117E-2</v>
      </c>
      <c r="J362" s="2">
        <v>-1179.98933608531</v>
      </c>
      <c r="K362" s="13">
        <v>11.2401648351648</v>
      </c>
      <c r="L362" s="9">
        <f t="shared" si="296"/>
        <v>5.46926507936508E-2</v>
      </c>
      <c r="M362" s="2">
        <f t="shared" si="297"/>
        <v>4217.961491253398</v>
      </c>
      <c r="N362" s="16">
        <f t="shared" si="308"/>
        <v>11.240164835164801</v>
      </c>
    </row>
    <row r="363" spans="1:14" ht="17">
      <c r="A363" s="1" t="s">
        <v>356</v>
      </c>
      <c r="B363" s="6">
        <f t="shared" ref="B363" si="342">C363/12.01%</f>
        <v>55777.929312167442</v>
      </c>
      <c r="C363" s="2">
        <v>6698.9293103913096</v>
      </c>
      <c r="D363" s="9">
        <v>8.5059682539682602E-2</v>
      </c>
      <c r="E363" s="2">
        <f t="shared" si="306"/>
        <v>4172.9947504446191</v>
      </c>
      <c r="F363" s="9">
        <v>2.084871111111113E-2</v>
      </c>
      <c r="G363" s="2">
        <f t="shared" si="307"/>
        <v>-9140.2368351188161</v>
      </c>
      <c r="H363" s="7">
        <f t="shared" si="295"/>
        <v>-2.1903302979580679</v>
      </c>
      <c r="I363" s="9">
        <v>2.084871111111113E-2</v>
      </c>
      <c r="J363" s="2">
        <v>-1183.68386652907</v>
      </c>
      <c r="K363" s="13">
        <v>11.266923076923099</v>
      </c>
      <c r="L363" s="9">
        <f t="shared" si="296"/>
        <v>5.5288793650793693E-2</v>
      </c>
      <c r="M363" s="2">
        <f t="shared" si="297"/>
        <v>4172.9947504446191</v>
      </c>
      <c r="N363" s="16">
        <f t="shared" si="308"/>
        <v>11.266923076923099</v>
      </c>
    </row>
    <row r="364" spans="1:14" ht="17">
      <c r="A364" s="1" t="s">
        <v>357</v>
      </c>
      <c r="B364" s="6">
        <f t="shared" ref="B364" si="343">C364/10.26%</f>
        <v>60324.194972695128</v>
      </c>
      <c r="C364" s="2">
        <v>6189.26240419852</v>
      </c>
      <c r="D364" s="9">
        <v>8.5976825396825399E-2</v>
      </c>
      <c r="E364" s="2">
        <f t="shared" si="306"/>
        <v>3906.3323155358912</v>
      </c>
      <c r="F364" s="9">
        <v>2.3233511111111112E-2</v>
      </c>
      <c r="G364" s="2">
        <f t="shared" si="307"/>
        <v>-9541.9612216252499</v>
      </c>
      <c r="H364" s="7">
        <f t="shared" si="295"/>
        <v>-2.442690598461343</v>
      </c>
      <c r="I364" s="9">
        <v>2.3233511111111112E-2</v>
      </c>
      <c r="J364" s="2">
        <v>-1187.3783969728199</v>
      </c>
      <c r="K364" s="13">
        <v>11.293681318681299</v>
      </c>
      <c r="L364" s="9">
        <f t="shared" si="296"/>
        <v>5.5884936507936508E-2</v>
      </c>
      <c r="M364" s="2">
        <f t="shared" si="297"/>
        <v>3906.3323155358912</v>
      </c>
      <c r="N364" s="16">
        <f t="shared" si="308"/>
        <v>11.293681318681299</v>
      </c>
    </row>
    <row r="365" spans="1:14" ht="17">
      <c r="A365" s="1" t="s">
        <v>358</v>
      </c>
      <c r="B365" s="6">
        <f t="shared" ref="B365" si="344">C365/11.36%</f>
        <v>98409.035937434863</v>
      </c>
      <c r="C365" s="2">
        <v>11179.2664824926</v>
      </c>
      <c r="D365" s="9">
        <v>8.6893968253968307E-2</v>
      </c>
      <c r="E365" s="2">
        <f t="shared" si="306"/>
        <v>7147.918409783083</v>
      </c>
      <c r="F365" s="9">
        <v>2.1754311111111129E-2</v>
      </c>
      <c r="G365" s="2">
        <f t="shared" si="307"/>
        <v>-16360.628558064158</v>
      </c>
      <c r="H365" s="7">
        <f t="shared" si="295"/>
        <v>-2.2888661593663393</v>
      </c>
      <c r="I365" s="9">
        <v>2.1754311111111129E-2</v>
      </c>
      <c r="J365" s="2">
        <v>-1191.0729274165799</v>
      </c>
      <c r="K365" s="13">
        <v>11.320439560439601</v>
      </c>
      <c r="L365" s="9">
        <f t="shared" si="296"/>
        <v>5.6481079365079401E-2</v>
      </c>
      <c r="M365" s="2">
        <f t="shared" si="297"/>
        <v>7147.918409783083</v>
      </c>
      <c r="N365" s="16">
        <f t="shared" si="308"/>
        <v>11.320439560439603</v>
      </c>
    </row>
    <row r="366" spans="1:14" ht="17">
      <c r="A366" s="1" t="s">
        <v>359</v>
      </c>
      <c r="B366" s="6">
        <f t="shared" ref="B366" si="345">C366/9.31%</f>
        <v>83011.458499251457</v>
      </c>
      <c r="C366" s="2">
        <v>7728.3667862803104</v>
      </c>
      <c r="D366" s="9">
        <v>8.7811111111111104E-2</v>
      </c>
      <c r="E366" s="2">
        <f t="shared" si="306"/>
        <v>5005.4045033309558</v>
      </c>
      <c r="F366" s="9">
        <v>2.1843111111111112E-2</v>
      </c>
      <c r="G366" s="2">
        <f t="shared" si="307"/>
        <v>-11511.937805210406</v>
      </c>
      <c r="H366" s="7">
        <f t="shared" si="295"/>
        <v>-2.299901595874926</v>
      </c>
      <c r="I366" s="9">
        <v>2.1843111111111112E-2</v>
      </c>
      <c r="J366" s="2">
        <v>-1194.7674578603401</v>
      </c>
      <c r="K366" s="13">
        <v>11.347197802197799</v>
      </c>
      <c r="L366" s="9">
        <f t="shared" si="296"/>
        <v>5.7077222222222217E-2</v>
      </c>
      <c r="M366" s="2">
        <f t="shared" si="297"/>
        <v>5005.4045033309558</v>
      </c>
      <c r="N366" s="16">
        <f t="shared" si="308"/>
        <v>11.347197802197799</v>
      </c>
    </row>
    <row r="367" spans="1:14" ht="17">
      <c r="A367" s="1" t="s">
        <v>360</v>
      </c>
      <c r="B367" s="6">
        <f t="shared" ref="B367:B368" si="346">C367/12.1%</f>
        <v>210662.83648803059</v>
      </c>
      <c r="C367" s="2">
        <v>25490.203215051701</v>
      </c>
      <c r="D367" s="9">
        <v>8.8728253968253998E-2</v>
      </c>
      <c r="E367" s="2">
        <f t="shared" si="306"/>
        <v>16720.918703315019</v>
      </c>
      <c r="F367" s="9">
        <v>2.2407911111111123E-2</v>
      </c>
      <c r="G367" s="2">
        <f t="shared" si="307"/>
        <v>-39479.734818713325</v>
      </c>
      <c r="H367" s="7">
        <f t="shared" si="295"/>
        <v>-2.3610984252250589</v>
      </c>
      <c r="I367" s="9">
        <v>2.2407911111111123E-2</v>
      </c>
      <c r="J367" s="2">
        <v>-1198.46198830409</v>
      </c>
      <c r="K367" s="13">
        <v>11.373956043955999</v>
      </c>
      <c r="L367" s="9">
        <f t="shared" si="296"/>
        <v>5.7673365079365102E-2</v>
      </c>
      <c r="M367" s="2">
        <f t="shared" si="297"/>
        <v>16720.918703315019</v>
      </c>
      <c r="N367" s="16">
        <f t="shared" si="308"/>
        <v>11.373956043955999</v>
      </c>
    </row>
    <row r="368" spans="1:14" ht="17">
      <c r="A368" s="1" t="s">
        <v>361</v>
      </c>
      <c r="B368" s="6">
        <f t="shared" si="346"/>
        <v>293271.91068610415</v>
      </c>
      <c r="C368" s="2">
        <v>35485.901193018602</v>
      </c>
      <c r="D368" s="9">
        <v>8.9645396825396795E-2</v>
      </c>
      <c r="E368" s="2">
        <f t="shared" si="306"/>
        <v>23573.781375117815</v>
      </c>
      <c r="F368" s="9">
        <v>2.2356711111111108E-2</v>
      </c>
      <c r="G368" s="2">
        <f t="shared" si="307"/>
        <v>-55573.291548675603</v>
      </c>
      <c r="H368" s="7">
        <f t="shared" si="295"/>
        <v>-2.3574194849933305</v>
      </c>
      <c r="I368" s="9">
        <v>2.2356711111111108E-2</v>
      </c>
      <c r="J368" s="2">
        <v>-1202.15651874785</v>
      </c>
      <c r="K368" s="13">
        <v>11.400714285714299</v>
      </c>
      <c r="L368" s="9">
        <f t="shared" si="296"/>
        <v>5.8269507936507918E-2</v>
      </c>
      <c r="M368" s="2">
        <f t="shared" si="297"/>
        <v>23573.781375117815</v>
      </c>
      <c r="N368" s="16">
        <f t="shared" si="308"/>
        <v>11.400714285714297</v>
      </c>
    </row>
    <row r="369" spans="1:14" ht="17">
      <c r="A369" s="1" t="s">
        <v>362</v>
      </c>
      <c r="B369" s="6">
        <f t="shared" ref="B369" si="347">C369/11.09%</f>
        <v>45605.940779377641</v>
      </c>
      <c r="C369" s="2">
        <v>5057.6988324329805</v>
      </c>
      <c r="D369" s="9">
        <v>9.0562539682539703E-2</v>
      </c>
      <c r="E369" s="2">
        <f t="shared" si="306"/>
        <v>3402.2412104143268</v>
      </c>
      <c r="F369" s="9">
        <v>2.3229511111111115E-2</v>
      </c>
      <c r="G369" s="2">
        <f t="shared" si="307"/>
        <v>-8339.6658562090979</v>
      </c>
      <c r="H369" s="7">
        <f t="shared" si="295"/>
        <v>-2.4512271001483428</v>
      </c>
      <c r="I369" s="9">
        <v>2.3229511111111115E-2</v>
      </c>
      <c r="J369" s="2">
        <v>-1205.8510491915999</v>
      </c>
      <c r="K369" s="13">
        <v>11.427472527472499</v>
      </c>
      <c r="L369" s="9">
        <f t="shared" si="296"/>
        <v>5.886565079365081E-2</v>
      </c>
      <c r="M369" s="2">
        <f t="shared" si="297"/>
        <v>3402.2412104143268</v>
      </c>
      <c r="N369" s="16">
        <f t="shared" si="308"/>
        <v>11.427472527472499</v>
      </c>
    </row>
    <row r="370" spans="1:14" ht="17">
      <c r="A370" s="1" t="s">
        <v>363</v>
      </c>
      <c r="B370" s="6">
        <f t="shared" ref="B370" si="348">C370/12.01%</f>
        <v>51019.853958001251</v>
      </c>
      <c r="C370" s="2">
        <v>6127.4844603559504</v>
      </c>
      <c r="D370" s="9">
        <v>9.1479682539682597E-2</v>
      </c>
      <c r="E370" s="2">
        <f t="shared" si="306"/>
        <v>4173.3629157587684</v>
      </c>
      <c r="F370" s="9">
        <v>2.2478311111111128E-2</v>
      </c>
      <c r="G370" s="2">
        <f t="shared" si="307"/>
        <v>-9906.1782972136007</v>
      </c>
      <c r="H370" s="7">
        <f t="shared" si="295"/>
        <v>-2.3736680698933506</v>
      </c>
      <c r="I370" s="9">
        <v>2.2478311111111128E-2</v>
      </c>
      <c r="J370" s="2">
        <v>-1209.5455796353599</v>
      </c>
      <c r="K370" s="13">
        <v>11.454230769230699</v>
      </c>
      <c r="L370" s="9">
        <f t="shared" si="296"/>
        <v>5.9461793650793689E-2</v>
      </c>
      <c r="M370" s="2">
        <f t="shared" si="297"/>
        <v>4173.3629157587684</v>
      </c>
      <c r="N370" s="16">
        <f t="shared" si="308"/>
        <v>11.454230769230699</v>
      </c>
    </row>
    <row r="371" spans="1:14" ht="17">
      <c r="A371" s="1" t="s">
        <v>364</v>
      </c>
      <c r="B371" s="6">
        <f t="shared" ref="B371" si="349">C371/10.26%</f>
        <v>358537.5667428723</v>
      </c>
      <c r="C371" s="2">
        <v>36785.954347818697</v>
      </c>
      <c r="D371" s="9">
        <v>9.2396825396825394E-2</v>
      </c>
      <c r="E371" s="2">
        <f t="shared" si="306"/>
        <v>25364.817112361936</v>
      </c>
      <c r="F371" s="9">
        <v>2.2819111111111113E-2</v>
      </c>
      <c r="G371" s="2">
        <f t="shared" si="307"/>
        <v>-61164.286909528782</v>
      </c>
      <c r="H371" s="7">
        <f t="shared" si="295"/>
        <v>-2.4113829261445541</v>
      </c>
      <c r="I371" s="9">
        <v>2.2819111111111113E-2</v>
      </c>
      <c r="J371" s="2">
        <v>-1213.2401100791201</v>
      </c>
      <c r="K371" s="13">
        <v>11.480989010988999</v>
      </c>
      <c r="L371" s="9">
        <f t="shared" si="296"/>
        <v>6.0057936507936505E-2</v>
      </c>
      <c r="M371" s="2">
        <f t="shared" si="297"/>
        <v>25364.817112361936</v>
      </c>
      <c r="N371" s="16">
        <f t="shared" si="308"/>
        <v>11.480989010988997</v>
      </c>
    </row>
    <row r="372" spans="1:14" ht="17">
      <c r="A372" s="1" t="s">
        <v>365</v>
      </c>
      <c r="B372" s="6">
        <f t="shared" ref="B372" si="350">C372/11.36%</f>
        <v>27372.054428705636</v>
      </c>
      <c r="C372" s="2">
        <v>3109.46538310096</v>
      </c>
      <c r="D372" s="9">
        <v>9.3313968253968302E-2</v>
      </c>
      <c r="E372" s="2">
        <f t="shared" si="306"/>
        <v>2170.381386994376</v>
      </c>
      <c r="F372" s="9">
        <v>2.3159911111111126E-2</v>
      </c>
      <c r="G372" s="2">
        <f t="shared" si="307"/>
        <v>-5315.5705098039025</v>
      </c>
      <c r="H372" s="7">
        <f t="shared" si="295"/>
        <v>-2.4491412162196524</v>
      </c>
      <c r="I372" s="9">
        <v>2.3159911111111126E-2</v>
      </c>
      <c r="J372" s="2">
        <v>-1216.93464052287</v>
      </c>
      <c r="K372" s="13">
        <v>11.507747252747199</v>
      </c>
      <c r="L372" s="9">
        <f t="shared" si="296"/>
        <v>6.0654079365079397E-2</v>
      </c>
      <c r="M372" s="2">
        <f t="shared" si="297"/>
        <v>2170.381386994376</v>
      </c>
      <c r="N372" s="16">
        <f t="shared" si="308"/>
        <v>11.507747252747199</v>
      </c>
    </row>
    <row r="373" spans="1:14" ht="17">
      <c r="A373" s="1" t="s">
        <v>366</v>
      </c>
      <c r="B373" s="6">
        <f t="shared" ref="B373" si="351">C373/9.31%</f>
        <v>13743.765228321266</v>
      </c>
      <c r="C373" s="2">
        <v>1279.5445427567099</v>
      </c>
      <c r="D373" s="9">
        <v>9.4231111111111196E-2</v>
      </c>
      <c r="E373" s="2">
        <f t="shared" si="306"/>
        <v>903.98673524069227</v>
      </c>
      <c r="F373" s="9">
        <v>2.5544711111111135E-2</v>
      </c>
      <c r="G373" s="2">
        <f t="shared" si="307"/>
        <v>-2443.6996002751907</v>
      </c>
      <c r="H373" s="7">
        <f t="shared" si="295"/>
        <v>-2.7032471882726687</v>
      </c>
      <c r="I373" s="9">
        <v>2.5544711111111135E-2</v>
      </c>
      <c r="J373" s="2">
        <v>-1220.62917096663</v>
      </c>
      <c r="K373" s="13">
        <v>11.534505494505501</v>
      </c>
      <c r="L373" s="9">
        <f t="shared" si="296"/>
        <v>6.1250222222222282E-2</v>
      </c>
      <c r="M373" s="2">
        <f t="shared" si="297"/>
        <v>903.98673524069227</v>
      </c>
      <c r="N373" s="16">
        <f t="shared" si="308"/>
        <v>11.534505494505501</v>
      </c>
    </row>
    <row r="374" spans="1:14" ht="17">
      <c r="A374" s="1" t="s">
        <v>367</v>
      </c>
      <c r="B374" s="6">
        <f t="shared" ref="B374:B375" si="352">C374/12.1%</f>
        <v>20211.8815197943</v>
      </c>
      <c r="C374" s="2">
        <v>2445.6376638951101</v>
      </c>
      <c r="D374" s="9">
        <v>9.5148253968254007E-2</v>
      </c>
      <c r="E374" s="2">
        <f t="shared" si="306"/>
        <v>1748.6850707513122</v>
      </c>
      <c r="F374" s="9">
        <v>2.4065511111111122E-2</v>
      </c>
      <c r="G374" s="2">
        <f t="shared" si="307"/>
        <v>-4456.5382731338168</v>
      </c>
      <c r="H374" s="7">
        <f t="shared" si="295"/>
        <v>-2.5485082177885188</v>
      </c>
      <c r="I374" s="9">
        <v>2.4065511111111122E-2</v>
      </c>
      <c r="J374" s="2">
        <v>-1224.32370141039</v>
      </c>
      <c r="K374" s="13">
        <v>11.561263736263699</v>
      </c>
      <c r="L374" s="9">
        <f t="shared" si="296"/>
        <v>6.1846365079365105E-2</v>
      </c>
      <c r="M374" s="2">
        <f t="shared" si="297"/>
        <v>1748.6850707513122</v>
      </c>
      <c r="N374" s="16">
        <f t="shared" si="308"/>
        <v>11.561263736263701</v>
      </c>
    </row>
    <row r="375" spans="1:14" ht="17">
      <c r="A375" s="1" t="s">
        <v>368</v>
      </c>
      <c r="B375" s="6">
        <f t="shared" si="352"/>
        <v>23934.384627033141</v>
      </c>
      <c r="C375" s="2">
        <v>2896.06053987101</v>
      </c>
      <c r="D375" s="9">
        <v>9.6065396825396901E-2</v>
      </c>
      <c r="E375" s="2">
        <f t="shared" si="306"/>
        <v>2095.5464126946804</v>
      </c>
      <c r="F375" s="9">
        <v>2.4154311111111135E-2</v>
      </c>
      <c r="G375" s="2">
        <f t="shared" si="307"/>
        <v>-5363.9836367388934</v>
      </c>
      <c r="H375" s="7">
        <f t="shared" si="295"/>
        <v>-2.5597064346770075</v>
      </c>
      <c r="I375" s="9">
        <v>2.4154311111111135E-2</v>
      </c>
      <c r="J375" s="2">
        <v>-1228.0182318541399</v>
      </c>
      <c r="K375" s="13">
        <v>11.588021978022001</v>
      </c>
      <c r="L375" s="9">
        <f t="shared" si="296"/>
        <v>6.244250793650799E-2</v>
      </c>
      <c r="M375" s="2">
        <f t="shared" si="297"/>
        <v>2095.5464126946804</v>
      </c>
      <c r="N375" s="16">
        <f t="shared" si="308"/>
        <v>11.588021978022001</v>
      </c>
    </row>
    <row r="376" spans="1:14" ht="17">
      <c r="A376" s="1" t="s">
        <v>369</v>
      </c>
      <c r="B376" s="6">
        <f t="shared" ref="B376" si="353">C376/11.09%</f>
        <v>150547.9314790568</v>
      </c>
      <c r="C376" s="2">
        <v>16695.7656010274</v>
      </c>
      <c r="D376" s="9">
        <v>6.8777142857142898E-2</v>
      </c>
      <c r="E376" s="2">
        <f t="shared" si="306"/>
        <v>8669.1161589048606</v>
      </c>
      <c r="F376" s="9">
        <v>1.6821600000000013E-2</v>
      </c>
      <c r="G376" s="2">
        <f t="shared" si="307"/>
        <v>-15464.666862383534</v>
      </c>
      <c r="H376" s="7">
        <f t="shared" si="295"/>
        <v>-1.7838804531991796</v>
      </c>
      <c r="I376" s="9">
        <v>1.6821600000000013E-2</v>
      </c>
      <c r="J376" s="2">
        <v>-1231.7127622979001</v>
      </c>
      <c r="K376" s="13">
        <v>11.614780219780201</v>
      </c>
      <c r="L376" s="9">
        <f t="shared" si="296"/>
        <v>4.4705142857142888E-2</v>
      </c>
      <c r="M376" s="2">
        <f t="shared" si="297"/>
        <v>8669.1161589048606</v>
      </c>
      <c r="N376" s="16">
        <f t="shared" si="308"/>
        <v>11.614780219780201</v>
      </c>
    </row>
    <row r="377" spans="1:14" ht="17">
      <c r="A377" s="1" t="s">
        <v>370</v>
      </c>
      <c r="B377" s="6">
        <f t="shared" ref="B377" si="354">C377/12.01%</f>
        <v>51995.190095419151</v>
      </c>
      <c r="C377" s="2">
        <v>6244.6223304598398</v>
      </c>
      <c r="D377" s="9">
        <v>6.9602857142857105E-2</v>
      </c>
      <c r="E377" s="2">
        <f t="shared" si="306"/>
        <v>3288.9477880862014</v>
      </c>
      <c r="F377" s="9">
        <v>1.5652000000000003E-2</v>
      </c>
      <c r="G377" s="2">
        <f t="shared" si="307"/>
        <v>-5462.9421520922042</v>
      </c>
      <c r="H377" s="7">
        <f t="shared" si="295"/>
        <v>-1.6609999623226077</v>
      </c>
      <c r="I377" s="9">
        <v>1.5652000000000003E-2</v>
      </c>
      <c r="J377" s="2">
        <v>-1235.4072927416601</v>
      </c>
      <c r="K377" s="13">
        <v>11.641538461538399</v>
      </c>
      <c r="L377" s="9">
        <f t="shared" si="296"/>
        <v>4.5241857142857118E-2</v>
      </c>
      <c r="M377" s="2">
        <f t="shared" si="297"/>
        <v>3288.9477880862014</v>
      </c>
      <c r="N377" s="16">
        <f t="shared" si="308"/>
        <v>11.641538461538397</v>
      </c>
    </row>
    <row r="378" spans="1:14" ht="17">
      <c r="A378" s="1" t="s">
        <v>371</v>
      </c>
      <c r="B378" s="6">
        <f t="shared" ref="B378" si="355">C378/10.26%</f>
        <v>309115.25999153993</v>
      </c>
      <c r="C378" s="2">
        <v>31715.225675131998</v>
      </c>
      <c r="D378" s="9">
        <v>7.0428571428571396E-2</v>
      </c>
      <c r="E378" s="2">
        <f t="shared" si="306"/>
        <v>16940.940059865763</v>
      </c>
      <c r="F378" s="9">
        <v>2.0244000000000002E-2</v>
      </c>
      <c r="G378" s="2">
        <f t="shared" si="307"/>
        <v>-36419.448633269676</v>
      </c>
      <c r="H378" s="7">
        <f t="shared" ref="H378:H441" si="356">G378/E378</f>
        <v>-2.1497891205901745</v>
      </c>
      <c r="I378" s="9">
        <v>2.0244000000000002E-2</v>
      </c>
      <c r="J378" s="2">
        <v>-1239.10182318541</v>
      </c>
      <c r="K378" s="13">
        <v>11.668296703296701</v>
      </c>
      <c r="L378" s="9">
        <f t="shared" ref="L378:L441" si="357">D378*65%</f>
        <v>4.5778571428571412E-2</v>
      </c>
      <c r="M378" s="2">
        <f t="shared" ref="M378:M441" si="358">C378*L378*K378</f>
        <v>16940.940059865763</v>
      </c>
      <c r="N378" s="16">
        <f t="shared" si="308"/>
        <v>11.668296703296699</v>
      </c>
    </row>
    <row r="379" spans="1:14" ht="17">
      <c r="A379" s="1" t="s">
        <v>372</v>
      </c>
      <c r="B379" s="6">
        <f t="shared" ref="B379" si="359">C379/11.36%</f>
        <v>236960.73423944719</v>
      </c>
      <c r="C379" s="2">
        <v>26918.739409601199</v>
      </c>
      <c r="D379" s="9">
        <v>8.1100000000000005E-2</v>
      </c>
      <c r="E379" s="2">
        <f t="shared" si="306"/>
        <v>16595.532632798375</v>
      </c>
      <c r="F379" s="9">
        <v>2.2092000000000001E-2</v>
      </c>
      <c r="G379" s="2">
        <f t="shared" si="307"/>
        <v>-38960.44727297721</v>
      </c>
      <c r="H379" s="7">
        <f t="shared" si="356"/>
        <v>-2.3476466911329026</v>
      </c>
      <c r="I379" s="9">
        <v>2.2092000000000001E-2</v>
      </c>
      <c r="J379" s="2">
        <v>-1242.79635362917</v>
      </c>
      <c r="K379" s="13">
        <v>11.695054945054901</v>
      </c>
      <c r="L379" s="9">
        <f t="shared" si="357"/>
        <v>5.2715000000000005E-2</v>
      </c>
      <c r="M379" s="2">
        <f t="shared" si="358"/>
        <v>16595.532632798375</v>
      </c>
      <c r="N379" s="16">
        <f t="shared" si="308"/>
        <v>11.695054945054899</v>
      </c>
    </row>
    <row r="380" spans="1:14" ht="17">
      <c r="A380" s="1" t="s">
        <v>373</v>
      </c>
      <c r="B380" s="6">
        <f t="shared" ref="B380" si="360">C380/9.31%</f>
        <v>278612.20229986572</v>
      </c>
      <c r="C380" s="2">
        <v>25938.796034117498</v>
      </c>
      <c r="D380" s="9">
        <v>5.4399999999999997E-2</v>
      </c>
      <c r="E380" s="2">
        <f t="shared" si="306"/>
        <v>10751.198148802176</v>
      </c>
      <c r="F380" s="9">
        <v>2.1868000000000002E-2</v>
      </c>
      <c r="G380" s="2">
        <f t="shared" si="307"/>
        <v>-25001.164777406688</v>
      </c>
      <c r="H380" s="7">
        <f t="shared" si="356"/>
        <v>-2.3254305642382889</v>
      </c>
      <c r="I380" s="9">
        <v>2.1868000000000002E-2</v>
      </c>
      <c r="J380" s="2">
        <v>-1246.4908840729299</v>
      </c>
      <c r="K380" s="13">
        <v>11.721813186813201</v>
      </c>
      <c r="L380" s="9">
        <f t="shared" si="357"/>
        <v>3.5360000000000003E-2</v>
      </c>
      <c r="M380" s="2">
        <f t="shared" si="358"/>
        <v>10751.198148802176</v>
      </c>
      <c r="N380" s="16">
        <f t="shared" si="308"/>
        <v>11.721813186813199</v>
      </c>
    </row>
    <row r="381" spans="1:14" ht="17">
      <c r="A381" s="1" t="s">
        <v>374</v>
      </c>
      <c r="B381" s="6">
        <f t="shared" ref="B381:B382" si="361">C381/12.1%</f>
        <v>30784.604126922481</v>
      </c>
      <c r="C381" s="2">
        <v>3724.9370993576199</v>
      </c>
      <c r="D381" s="9">
        <v>6.0859999999999997E-2</v>
      </c>
      <c r="E381" s="2">
        <f t="shared" si="306"/>
        <v>1731.2082370453186</v>
      </c>
      <c r="F381" s="9">
        <v>1.5932000000000002E-2</v>
      </c>
      <c r="G381" s="2">
        <f t="shared" si="307"/>
        <v>-2935.0058669873333</v>
      </c>
      <c r="H381" s="7">
        <f t="shared" si="356"/>
        <v>-1.6953511450457028</v>
      </c>
      <c r="I381" s="9">
        <v>1.5932000000000002E-2</v>
      </c>
      <c r="J381" s="2">
        <v>-1250.1854145166801</v>
      </c>
      <c r="K381" s="13">
        <v>11.748571428571401</v>
      </c>
      <c r="L381" s="9">
        <f t="shared" si="357"/>
        <v>3.9558999999999997E-2</v>
      </c>
      <c r="M381" s="2">
        <f t="shared" si="358"/>
        <v>1731.2082370453186</v>
      </c>
      <c r="N381" s="16">
        <f t="shared" si="308"/>
        <v>11.748571428571397</v>
      </c>
    </row>
    <row r="382" spans="1:14" ht="17">
      <c r="A382" s="1" t="s">
        <v>375</v>
      </c>
      <c r="B382" s="6">
        <f t="shared" si="361"/>
        <v>33924.705759610006</v>
      </c>
      <c r="C382" s="2">
        <v>4104.8893969128103</v>
      </c>
      <c r="D382" s="9">
        <v>6.0277142857142897E-2</v>
      </c>
      <c r="E382" s="2">
        <f t="shared" si="306"/>
        <v>1893.8280723139658</v>
      </c>
      <c r="F382" s="9">
        <v>2.0132000000000004E-2</v>
      </c>
      <c r="G382" s="2">
        <f t="shared" si="307"/>
        <v>-4059.8534122715187</v>
      </c>
      <c r="H382" s="7">
        <f t="shared" si="356"/>
        <v>-2.1437286053696543</v>
      </c>
      <c r="I382" s="9">
        <v>2.0132000000000004E-2</v>
      </c>
      <c r="J382" s="2">
        <v>-1253.8799449604401</v>
      </c>
      <c r="K382" s="13">
        <v>11.775329670329601</v>
      </c>
      <c r="L382" s="9">
        <f t="shared" si="357"/>
        <v>3.9180142857142886E-2</v>
      </c>
      <c r="M382" s="2">
        <f t="shared" si="358"/>
        <v>1893.8280723139658</v>
      </c>
      <c r="N382" s="16">
        <f t="shared" si="308"/>
        <v>11.775329670329601</v>
      </c>
    </row>
    <row r="383" spans="1:14" ht="17">
      <c r="A383" s="1" t="s">
        <v>376</v>
      </c>
      <c r="B383" s="6">
        <f t="shared" ref="B383" si="362">C383/11.09%</f>
        <v>53907.093971322087</v>
      </c>
      <c r="C383" s="2">
        <v>5978.2967214196196</v>
      </c>
      <c r="D383" s="9">
        <v>5.96942857142857E-2</v>
      </c>
      <c r="E383" s="2">
        <f t="shared" si="306"/>
        <v>2737.6783940149353</v>
      </c>
      <c r="F383" s="9">
        <v>1.4138399999999997E-2</v>
      </c>
      <c r="G383" s="2">
        <f t="shared" si="307"/>
        <v>-4124.3694535879367</v>
      </c>
      <c r="H383" s="7">
        <f t="shared" si="356"/>
        <v>-1.5065208033947892</v>
      </c>
      <c r="I383" s="9">
        <v>1.4138399999999997E-2</v>
      </c>
      <c r="J383" s="2">
        <v>-1257.57447540419</v>
      </c>
      <c r="K383" s="13">
        <v>11.802087912087901</v>
      </c>
      <c r="L383" s="9">
        <f t="shared" si="357"/>
        <v>3.8801285714285705E-2</v>
      </c>
      <c r="M383" s="2">
        <f t="shared" si="358"/>
        <v>2737.6783940149353</v>
      </c>
      <c r="N383" s="16">
        <f t="shared" si="308"/>
        <v>11.802087912087902</v>
      </c>
    </row>
    <row r="384" spans="1:14" ht="17">
      <c r="A384" s="1" t="s">
        <v>377</v>
      </c>
      <c r="B384" s="6">
        <f t="shared" ref="B384" si="363">C384/12.01%</f>
        <v>281125.20321315742</v>
      </c>
      <c r="C384" s="2">
        <v>33763.136905900203</v>
      </c>
      <c r="D384" s="9">
        <v>5.9111428571428599E-2</v>
      </c>
      <c r="E384" s="2">
        <f t="shared" si="306"/>
        <v>15345.109261190608</v>
      </c>
      <c r="F384" s="9">
        <v>1.3807200000000011E-2</v>
      </c>
      <c r="G384" s="2">
        <f t="shared" si="307"/>
        <v>-22591.285342275958</v>
      </c>
      <c r="H384" s="7">
        <f t="shared" si="356"/>
        <v>-1.4722140427772443</v>
      </c>
      <c r="I384" s="9">
        <v>1.3807200000000011E-2</v>
      </c>
      <c r="J384" s="2">
        <v>-1261.26900584795</v>
      </c>
      <c r="K384" s="13">
        <v>11.828846153846101</v>
      </c>
      <c r="L384" s="9">
        <f t="shared" si="357"/>
        <v>3.8422428571428593E-2</v>
      </c>
      <c r="M384" s="2">
        <f t="shared" si="358"/>
        <v>15345.109261190608</v>
      </c>
      <c r="N384" s="16">
        <f t="shared" si="308"/>
        <v>11.828846153846102</v>
      </c>
    </row>
    <row r="385" spans="1:14" ht="17">
      <c r="A385" s="1" t="s">
        <v>378</v>
      </c>
      <c r="B385" s="6">
        <f t="shared" ref="B385" si="364">C385/10.26%</f>
        <v>65315.612874946106</v>
      </c>
      <c r="C385" s="2">
        <v>6701.3818809694703</v>
      </c>
      <c r="D385" s="9">
        <v>5.8528571428571402E-2</v>
      </c>
      <c r="E385" s="2">
        <f t="shared" si="306"/>
        <v>3022.5211379033526</v>
      </c>
      <c r="F385" s="9">
        <v>1.3951999999999994E-2</v>
      </c>
      <c r="G385" s="2">
        <f t="shared" si="307"/>
        <v>-4499.4571686397912</v>
      </c>
      <c r="H385" s="7">
        <f t="shared" si="356"/>
        <v>-1.4886437392331862</v>
      </c>
      <c r="I385" s="9">
        <v>1.3951999999999994E-2</v>
      </c>
      <c r="J385" s="2">
        <v>-1264.9635362917099</v>
      </c>
      <c r="K385" s="13">
        <v>11.8556043956044</v>
      </c>
      <c r="L385" s="9">
        <f t="shared" si="357"/>
        <v>3.8043571428571413E-2</v>
      </c>
      <c r="M385" s="2">
        <f t="shared" si="358"/>
        <v>3022.5211379033526</v>
      </c>
      <c r="N385" s="16">
        <f t="shared" si="308"/>
        <v>11.855604395604399</v>
      </c>
    </row>
    <row r="386" spans="1:14" ht="17">
      <c r="A386" s="1" t="s">
        <v>379</v>
      </c>
      <c r="B386" s="6">
        <f t="shared" ref="B386" si="365">C386/11.36%</f>
        <v>55278.173972460034</v>
      </c>
      <c r="C386" s="2">
        <v>6279.6005632714596</v>
      </c>
      <c r="D386" s="9">
        <v>5.7945714285714302E-2</v>
      </c>
      <c r="E386" s="2">
        <f t="shared" si="306"/>
        <v>2810.4088186824583</v>
      </c>
      <c r="F386" s="9">
        <v>2.3718311111111123E-2</v>
      </c>
      <c r="G386" s="2">
        <f t="shared" si="307"/>
        <v>-7116.9685014636134</v>
      </c>
      <c r="H386" s="7">
        <f t="shared" si="356"/>
        <v>-2.5323605783446497</v>
      </c>
      <c r="I386" s="9">
        <v>2.3718311111111123E-2</v>
      </c>
      <c r="J386" s="2">
        <v>-1268.6580667354599</v>
      </c>
      <c r="K386" s="13">
        <v>11.882362637362601</v>
      </c>
      <c r="L386" s="9">
        <f t="shared" si="357"/>
        <v>3.7664714285714294E-2</v>
      </c>
      <c r="M386" s="2">
        <f t="shared" si="358"/>
        <v>2810.4088186824583</v>
      </c>
      <c r="N386" s="16">
        <f t="shared" si="308"/>
        <v>11.882362637362601</v>
      </c>
    </row>
    <row r="387" spans="1:14" ht="17">
      <c r="A387" s="1" t="s">
        <v>380</v>
      </c>
      <c r="B387" s="6">
        <f t="shared" ref="B387" si="366">C387/9.31%</f>
        <v>74890.942372919977</v>
      </c>
      <c r="C387" s="2">
        <v>6972.3467349188504</v>
      </c>
      <c r="D387" s="9">
        <v>6.3500000000000001E-2</v>
      </c>
      <c r="E387" s="2">
        <f t="shared" ref="E387:E450" si="367">C387*L387*K387</f>
        <v>3427.2498161902486</v>
      </c>
      <c r="F387" s="9">
        <v>1.5652000000000003E-2</v>
      </c>
      <c r="G387" s="2">
        <f t="shared" ref="G387:G450" si="368">C387*L387*F387*J387</f>
        <v>-5731.1711534790047</v>
      </c>
      <c r="H387" s="7">
        <f t="shared" si="356"/>
        <v>-1.6722361837777582</v>
      </c>
      <c r="I387" s="9">
        <v>1.5652000000000003E-2</v>
      </c>
      <c r="J387" s="2">
        <v>-1272.3525971792201</v>
      </c>
      <c r="K387" s="13">
        <v>11.9091208791209</v>
      </c>
      <c r="L387" s="9">
        <f t="shared" si="357"/>
        <v>4.1274999999999999E-2</v>
      </c>
      <c r="M387" s="2">
        <f t="shared" si="358"/>
        <v>3427.2498161902486</v>
      </c>
      <c r="N387" s="16">
        <f t="shared" ref="N387:N450" si="369">J387*I387/H387</f>
        <v>11.909120879120902</v>
      </c>
    </row>
    <row r="388" spans="1:14" ht="17">
      <c r="A388" s="1" t="s">
        <v>381</v>
      </c>
      <c r="B388" s="6">
        <f t="shared" ref="B388:B389" si="370">C388/12.1%</f>
        <v>67007.870505876286</v>
      </c>
      <c r="C388" s="2">
        <v>8107.9523312110296</v>
      </c>
      <c r="D388" s="9">
        <v>8.3500000000000005E-2</v>
      </c>
      <c r="E388" s="2">
        <f t="shared" si="367"/>
        <v>5252.4923761413529</v>
      </c>
      <c r="F388" s="9">
        <v>2.0244000000000002E-2</v>
      </c>
      <c r="G388" s="2">
        <f t="shared" si="368"/>
        <v>-11367.738161564483</v>
      </c>
      <c r="H388" s="7">
        <f t="shared" si="356"/>
        <v>-2.1642560041021102</v>
      </c>
      <c r="I388" s="9">
        <v>2.0244000000000002E-2</v>
      </c>
      <c r="J388" s="2">
        <v>-1276.04712762298</v>
      </c>
      <c r="K388" s="13">
        <v>11.9358791208791</v>
      </c>
      <c r="L388" s="9">
        <f t="shared" si="357"/>
        <v>5.4275000000000004E-2</v>
      </c>
      <c r="M388" s="2">
        <f t="shared" si="358"/>
        <v>5252.4923761413529</v>
      </c>
      <c r="N388" s="16">
        <f t="shared" si="369"/>
        <v>11.935879120879102</v>
      </c>
    </row>
    <row r="389" spans="1:14" ht="17">
      <c r="A389" s="1" t="s">
        <v>382</v>
      </c>
      <c r="B389" s="6">
        <f t="shared" si="370"/>
        <v>51443.722100485211</v>
      </c>
      <c r="C389" s="2">
        <v>6224.6903741587103</v>
      </c>
      <c r="D389" s="9">
        <v>8.9800000000000005E-2</v>
      </c>
      <c r="E389" s="2">
        <f t="shared" si="367"/>
        <v>4346.4469652111475</v>
      </c>
      <c r="F389" s="9">
        <v>2.2092000000000001E-2</v>
      </c>
      <c r="G389" s="2">
        <f t="shared" si="368"/>
        <v>-10272.231279492908</v>
      </c>
      <c r="H389" s="7">
        <f t="shared" si="356"/>
        <v>-2.3633628482555036</v>
      </c>
      <c r="I389" s="9">
        <v>2.2092000000000001E-2</v>
      </c>
      <c r="J389" s="2">
        <v>-1279.74165806673</v>
      </c>
      <c r="K389" s="13">
        <v>11.962637362637301</v>
      </c>
      <c r="L389" s="9">
        <f t="shared" si="357"/>
        <v>5.8370000000000005E-2</v>
      </c>
      <c r="M389" s="2">
        <f t="shared" si="358"/>
        <v>4346.4469652111475</v>
      </c>
      <c r="N389" s="16">
        <f t="shared" si="369"/>
        <v>11.962637362637302</v>
      </c>
    </row>
    <row r="390" spans="1:14" ht="17">
      <c r="A390" s="1" t="s">
        <v>383</v>
      </c>
      <c r="B390" s="6">
        <f t="shared" ref="B390" si="371">C390/11.09%</f>
        <v>373640.15991747065</v>
      </c>
      <c r="C390" s="2">
        <v>41436.693734847497</v>
      </c>
      <c r="D390" s="9">
        <v>8.8700000000000001E-2</v>
      </c>
      <c r="E390" s="2">
        <f t="shared" si="367"/>
        <v>28643.05668083029</v>
      </c>
      <c r="F390" s="9">
        <v>2.1868000000000002E-2</v>
      </c>
      <c r="G390" s="2">
        <f t="shared" si="368"/>
        <v>-67051.024480521941</v>
      </c>
      <c r="H390" s="7">
        <f t="shared" si="356"/>
        <v>-2.3409172152145565</v>
      </c>
      <c r="I390" s="9">
        <v>2.1868000000000002E-2</v>
      </c>
      <c r="J390" s="2">
        <v>-1283.43618851049</v>
      </c>
      <c r="K390" s="13">
        <v>11.9893956043956</v>
      </c>
      <c r="L390" s="9">
        <f t="shared" si="357"/>
        <v>5.7655000000000005E-2</v>
      </c>
      <c r="M390" s="2">
        <f t="shared" si="358"/>
        <v>28643.05668083029</v>
      </c>
      <c r="N390" s="16">
        <f t="shared" si="369"/>
        <v>11.989395604395602</v>
      </c>
    </row>
    <row r="391" spans="1:14" ht="17">
      <c r="A391" s="1" t="s">
        <v>384</v>
      </c>
      <c r="B391" s="6">
        <f t="shared" ref="B391" si="372">C391/12.01%</f>
        <v>43065.266096160281</v>
      </c>
      <c r="C391" s="2">
        <v>5172.1384581488501</v>
      </c>
      <c r="D391" s="9">
        <v>5.9900000000000002E-2</v>
      </c>
      <c r="E391" s="2">
        <f t="shared" si="367"/>
        <v>2419.7795468995491</v>
      </c>
      <c r="F391" s="9">
        <v>1.5932000000000002E-2</v>
      </c>
      <c r="G391" s="2">
        <f t="shared" si="368"/>
        <v>-4129.5551892830345</v>
      </c>
      <c r="H391" s="7">
        <f t="shared" si="356"/>
        <v>-1.7065832276226203</v>
      </c>
      <c r="I391" s="9">
        <v>1.5932000000000002E-2</v>
      </c>
      <c r="J391" s="2">
        <v>-1287.1307189542499</v>
      </c>
      <c r="K391" s="13">
        <v>12.0161538461538</v>
      </c>
      <c r="L391" s="9">
        <f t="shared" si="357"/>
        <v>3.8935000000000004E-2</v>
      </c>
      <c r="M391" s="2">
        <f t="shared" si="358"/>
        <v>2419.7795468995491</v>
      </c>
      <c r="N391" s="16">
        <f t="shared" si="369"/>
        <v>12.016153846153797</v>
      </c>
    </row>
    <row r="392" spans="1:14" ht="17">
      <c r="A392" s="1" t="s">
        <v>385</v>
      </c>
      <c r="B392" s="6">
        <f t="shared" ref="B392" si="373">C392/10.26%</f>
        <v>53451.116131817158</v>
      </c>
      <c r="C392" s="2">
        <v>5484.0845151244403</v>
      </c>
      <c r="D392" s="9">
        <v>8.1100000000000005E-2</v>
      </c>
      <c r="E392" s="2">
        <f t="shared" si="367"/>
        <v>3481.5277889171334</v>
      </c>
      <c r="F392" s="9">
        <v>2.0132000000000004E-2</v>
      </c>
      <c r="G392" s="2">
        <f t="shared" si="368"/>
        <v>-7512.6425131010801</v>
      </c>
      <c r="H392" s="7">
        <f t="shared" si="356"/>
        <v>-2.1578579774707909</v>
      </c>
      <c r="I392" s="9">
        <v>2.0132000000000004E-2</v>
      </c>
      <c r="J392" s="2">
        <v>-1290.8252493980001</v>
      </c>
      <c r="K392" s="13">
        <v>12.0429120879121</v>
      </c>
      <c r="L392" s="9">
        <f t="shared" si="357"/>
        <v>5.2715000000000005E-2</v>
      </c>
      <c r="M392" s="2">
        <f t="shared" si="358"/>
        <v>3481.5277889171334</v>
      </c>
      <c r="N392" s="16">
        <f t="shared" si="369"/>
        <v>12.0429120879121</v>
      </c>
    </row>
    <row r="393" spans="1:14" ht="17">
      <c r="A393" s="1" t="s">
        <v>386</v>
      </c>
      <c r="B393" s="6">
        <f t="shared" ref="B393" si="374">C393/11.36%</f>
        <v>270817.88431627909</v>
      </c>
      <c r="C393" s="2">
        <v>30764.9116583293</v>
      </c>
      <c r="D393" s="9">
        <v>7.4399999999999994E-2</v>
      </c>
      <c r="E393" s="2">
        <f t="shared" si="367"/>
        <v>17957.148431915808</v>
      </c>
      <c r="F393" s="9">
        <v>1.8088000000000003E-2</v>
      </c>
      <c r="G393" s="2">
        <f t="shared" si="368"/>
        <v>-34837.036581510925</v>
      </c>
      <c r="H393" s="7">
        <f t="shared" si="356"/>
        <v>-1.9400093903324849</v>
      </c>
      <c r="I393" s="9">
        <v>1.8088000000000003E-2</v>
      </c>
      <c r="J393" s="2">
        <v>-1294.5197798417601</v>
      </c>
      <c r="K393" s="13">
        <v>12.0696703296703</v>
      </c>
      <c r="L393" s="9">
        <f t="shared" si="357"/>
        <v>4.836E-2</v>
      </c>
      <c r="M393" s="2">
        <f t="shared" si="358"/>
        <v>17957.148431915808</v>
      </c>
      <c r="N393" s="16">
        <f t="shared" si="369"/>
        <v>12.0696703296703</v>
      </c>
    </row>
    <row r="394" spans="1:14" ht="17">
      <c r="A394" s="1" t="s">
        <v>387</v>
      </c>
      <c r="B394" s="6">
        <f t="shared" ref="B394" si="375">C394/9.31%</f>
        <v>57530.390228154785</v>
      </c>
      <c r="C394" s="2">
        <v>5356.0793302412103</v>
      </c>
      <c r="D394" s="9">
        <v>8.0860000000000001E-2</v>
      </c>
      <c r="E394" s="2">
        <f t="shared" si="367"/>
        <v>3405.2677060927458</v>
      </c>
      <c r="F394" s="9">
        <v>2.0204800000000002E-2</v>
      </c>
      <c r="G394" s="2">
        <f t="shared" si="368"/>
        <v>-7384.0570327664409</v>
      </c>
      <c r="H394" s="7">
        <f t="shared" si="356"/>
        <v>-2.1684218892848857</v>
      </c>
      <c r="I394" s="9">
        <v>2.0204800000000002E-2</v>
      </c>
      <c r="J394" s="2">
        <v>-1298.21431028552</v>
      </c>
      <c r="K394" s="13">
        <v>12.0964285714286</v>
      </c>
      <c r="L394" s="9">
        <f t="shared" si="357"/>
        <v>5.2559000000000002E-2</v>
      </c>
      <c r="M394" s="2">
        <f t="shared" si="358"/>
        <v>3405.2677060927458</v>
      </c>
      <c r="N394" s="16">
        <f t="shared" si="369"/>
        <v>12.096428571428602</v>
      </c>
    </row>
    <row r="395" spans="1:14" ht="17">
      <c r="A395" s="1" t="s">
        <v>388</v>
      </c>
      <c r="B395" s="6">
        <f t="shared" ref="B395:B396" si="376">C395/12.1%</f>
        <v>59386.30737691695</v>
      </c>
      <c r="C395" s="2">
        <v>7185.7431926069503</v>
      </c>
      <c r="D395" s="9">
        <v>7.0277142857142899E-2</v>
      </c>
      <c r="E395" s="2">
        <f t="shared" si="367"/>
        <v>3979.3848579112005</v>
      </c>
      <c r="F395" s="9">
        <v>1.6933600000000014E-2</v>
      </c>
      <c r="G395" s="2">
        <f t="shared" si="368"/>
        <v>-7236.5075320367332</v>
      </c>
      <c r="H395" s="7">
        <f t="shared" si="356"/>
        <v>-1.8184990370183027</v>
      </c>
      <c r="I395" s="9">
        <v>1.6933600000000014E-2</v>
      </c>
      <c r="J395" s="2">
        <v>-1301.90884072927</v>
      </c>
      <c r="K395" s="13">
        <v>12.1231868131868</v>
      </c>
      <c r="L395" s="9">
        <f t="shared" si="357"/>
        <v>4.5680142857142884E-2</v>
      </c>
      <c r="M395" s="2">
        <f t="shared" si="358"/>
        <v>3979.3848579112005</v>
      </c>
      <c r="N395" s="16">
        <f t="shared" si="369"/>
        <v>12.123186813186802</v>
      </c>
    </row>
    <row r="396" spans="1:14" ht="17">
      <c r="A396" s="1" t="s">
        <v>389</v>
      </c>
      <c r="B396" s="6">
        <f t="shared" si="376"/>
        <v>122643.78800966198</v>
      </c>
      <c r="C396" s="2">
        <v>14839.8983491691</v>
      </c>
      <c r="D396" s="9">
        <v>8.9694285714285699E-2</v>
      </c>
      <c r="E396" s="2">
        <f t="shared" si="367"/>
        <v>10511.952078908402</v>
      </c>
      <c r="F396" s="9">
        <v>2.2986400000000001E-2</v>
      </c>
      <c r="G396" s="2">
        <f t="shared" si="368"/>
        <v>-25965.17661935967</v>
      </c>
      <c r="H396" s="7">
        <f t="shared" si="356"/>
        <v>-2.4700623085465954</v>
      </c>
      <c r="I396" s="9">
        <v>2.2986400000000001E-2</v>
      </c>
      <c r="J396" s="2">
        <v>-1305.6033711730299</v>
      </c>
      <c r="K396" s="13">
        <v>12.149945054945</v>
      </c>
      <c r="L396" s="9">
        <f t="shared" si="357"/>
        <v>5.8301285714285708E-2</v>
      </c>
      <c r="M396" s="2">
        <f t="shared" si="358"/>
        <v>10511.952078908402</v>
      </c>
      <c r="N396" s="16">
        <f t="shared" si="369"/>
        <v>12.149945054945</v>
      </c>
    </row>
    <row r="397" spans="1:14" ht="17">
      <c r="A397" s="1" t="s">
        <v>390</v>
      </c>
      <c r="B397" s="6">
        <f t="shared" ref="B397" si="377">C397/11.09%</f>
        <v>20564.057439154101</v>
      </c>
      <c r="C397" s="2">
        <v>2280.55397000219</v>
      </c>
      <c r="D397" s="9">
        <v>7.7722539682539699E-2</v>
      </c>
      <c r="E397" s="2">
        <f t="shared" si="367"/>
        <v>1402.9119620143106</v>
      </c>
      <c r="F397" s="9">
        <v>1.8626311111111116E-2</v>
      </c>
      <c r="G397" s="2">
        <f t="shared" si="368"/>
        <v>-2809.7392531868068</v>
      </c>
      <c r="H397" s="7">
        <f t="shared" si="356"/>
        <v>-2.0027908587738921</v>
      </c>
      <c r="I397" s="9">
        <v>1.8626311111111116E-2</v>
      </c>
      <c r="J397" s="2">
        <v>-1309.2979016167901</v>
      </c>
      <c r="K397" s="13">
        <v>12.1767032967033</v>
      </c>
      <c r="L397" s="9">
        <f t="shared" si="357"/>
        <v>5.0519650793650804E-2</v>
      </c>
      <c r="M397" s="2">
        <f t="shared" si="358"/>
        <v>1402.9119620143106</v>
      </c>
      <c r="N397" s="16">
        <f t="shared" si="369"/>
        <v>12.1767032967033</v>
      </c>
    </row>
    <row r="398" spans="1:14" ht="17">
      <c r="A398" s="1" t="s">
        <v>391</v>
      </c>
      <c r="B398" s="6">
        <f t="shared" ref="B398" si="378">C398/12.01%</f>
        <v>71506.649307596337</v>
      </c>
      <c r="C398" s="2">
        <v>8587.94858184232</v>
      </c>
      <c r="D398" s="9">
        <v>7.8639682539682607E-2</v>
      </c>
      <c r="E398" s="2">
        <f t="shared" si="367"/>
        <v>5357.0731981233612</v>
      </c>
      <c r="F398" s="9">
        <v>1.8967111111111101E-2</v>
      </c>
      <c r="G398" s="2">
        <f t="shared" si="368"/>
        <v>-10932.209734200707</v>
      </c>
      <c r="H398" s="7">
        <f t="shared" si="356"/>
        <v>-2.0407056857147996</v>
      </c>
      <c r="I398" s="9">
        <v>1.8967111111111101E-2</v>
      </c>
      <c r="J398" s="2">
        <v>-1312.9924320605401</v>
      </c>
      <c r="K398" s="13">
        <v>12.2034615384615</v>
      </c>
      <c r="L398" s="9">
        <f t="shared" si="357"/>
        <v>5.1115793650793696E-2</v>
      </c>
      <c r="M398" s="2">
        <f t="shared" si="358"/>
        <v>5357.0731981233612</v>
      </c>
      <c r="N398" s="16">
        <f t="shared" si="369"/>
        <v>12.203461538461498</v>
      </c>
    </row>
    <row r="399" spans="1:14" ht="17">
      <c r="A399" s="1" t="s">
        <v>392</v>
      </c>
      <c r="B399" s="6">
        <f t="shared" ref="B399" si="379">C399/10.26%</f>
        <v>52021.672326641623</v>
      </c>
      <c r="C399" s="2">
        <v>5337.4235807134301</v>
      </c>
      <c r="D399" s="9">
        <v>7.9556825396825404E-2</v>
      </c>
      <c r="E399" s="2">
        <f t="shared" si="367"/>
        <v>3375.6447302166557</v>
      </c>
      <c r="F399" s="9">
        <v>1.9307911111111114E-2</v>
      </c>
      <c r="G399" s="2">
        <f t="shared" si="368"/>
        <v>-7016.8193819806856</v>
      </c>
      <c r="H399" s="7">
        <f t="shared" si="356"/>
        <v>-2.0786605057014786</v>
      </c>
      <c r="I399" s="9">
        <v>1.9307911111111114E-2</v>
      </c>
      <c r="J399" s="2">
        <v>-1316.6869625043</v>
      </c>
      <c r="K399" s="13">
        <v>12.2302197802198</v>
      </c>
      <c r="L399" s="9">
        <f t="shared" si="357"/>
        <v>5.1711936507936512E-2</v>
      </c>
      <c r="M399" s="2">
        <f t="shared" si="358"/>
        <v>3375.6447302166557</v>
      </c>
      <c r="N399" s="16">
        <f t="shared" si="369"/>
        <v>12.2302197802198</v>
      </c>
    </row>
    <row r="400" spans="1:14" ht="17">
      <c r="A400" s="1" t="s">
        <v>393</v>
      </c>
      <c r="B400" s="6">
        <f t="shared" ref="B400" si="380">C400/11.36%</f>
        <v>192662.45984992871</v>
      </c>
      <c r="C400" s="2">
        <v>21886.4554389519</v>
      </c>
      <c r="D400" s="9">
        <v>8.0473968253968298E-2</v>
      </c>
      <c r="E400" s="2">
        <f t="shared" si="367"/>
        <v>14032.259697334124</v>
      </c>
      <c r="F400" s="9">
        <v>2.1692711111111124E-2</v>
      </c>
      <c r="G400" s="2">
        <f t="shared" si="368"/>
        <v>-32791.211879391878</v>
      </c>
      <c r="H400" s="7">
        <f t="shared" si="356"/>
        <v>-2.3368447125890648</v>
      </c>
      <c r="I400" s="9">
        <v>2.1692711111111124E-2</v>
      </c>
      <c r="J400" s="2">
        <v>-1320.38149294805</v>
      </c>
      <c r="K400" s="13">
        <v>12.256978021978</v>
      </c>
      <c r="L400" s="9">
        <f t="shared" si="357"/>
        <v>5.2308079365079398E-2</v>
      </c>
      <c r="M400" s="2">
        <f t="shared" si="358"/>
        <v>14032.259697334124</v>
      </c>
      <c r="N400" s="16">
        <f t="shared" si="369"/>
        <v>12.256978021977996</v>
      </c>
    </row>
    <row r="401" spans="1:14" ht="17">
      <c r="A401" s="1" t="s">
        <v>394</v>
      </c>
      <c r="B401" s="6">
        <f t="shared" ref="B401" si="381">C401/9.31%</f>
        <v>43731.91388689226</v>
      </c>
      <c r="C401" s="2">
        <v>4071.4411828696698</v>
      </c>
      <c r="D401" s="9">
        <v>8.1391111111111095E-2</v>
      </c>
      <c r="E401" s="2">
        <f t="shared" si="367"/>
        <v>2645.8729272548053</v>
      </c>
      <c r="F401" s="9">
        <v>2.021351111111111E-2</v>
      </c>
      <c r="G401" s="2">
        <f t="shared" si="368"/>
        <v>-5764.9185811976513</v>
      </c>
      <c r="H401" s="7">
        <f t="shared" si="356"/>
        <v>-2.1788342598822292</v>
      </c>
      <c r="I401" s="9">
        <v>2.021351111111111E-2</v>
      </c>
      <c r="J401" s="2">
        <v>-1324.0760233918099</v>
      </c>
      <c r="K401" s="13">
        <v>12.2837362637362</v>
      </c>
      <c r="L401" s="9">
        <f t="shared" si="357"/>
        <v>5.2904222222222214E-2</v>
      </c>
      <c r="M401" s="2">
        <f t="shared" si="358"/>
        <v>2645.8729272548053</v>
      </c>
      <c r="N401" s="16">
        <f t="shared" si="369"/>
        <v>12.2837362637362</v>
      </c>
    </row>
    <row r="402" spans="1:14" ht="17">
      <c r="A402" s="1" t="s">
        <v>395</v>
      </c>
      <c r="B402" s="6">
        <f t="shared" ref="B402:B403" si="382">C402/12.1%</f>
        <v>43136.06716775446</v>
      </c>
      <c r="C402" s="2">
        <v>5219.4641272982899</v>
      </c>
      <c r="D402" s="9">
        <v>8.2308253968254003E-2</v>
      </c>
      <c r="E402" s="2">
        <f t="shared" si="367"/>
        <v>3437.62232652599</v>
      </c>
      <c r="F402" s="9">
        <v>2.030231111111112E-2</v>
      </c>
      <c r="G402" s="2">
        <f t="shared" si="368"/>
        <v>-7527.5071079316676</v>
      </c>
      <c r="H402" s="7">
        <f t="shared" si="356"/>
        <v>-2.1897423256320465</v>
      </c>
      <c r="I402" s="9">
        <v>2.030231111111112E-2</v>
      </c>
      <c r="J402" s="2">
        <v>-1327.7705538355699</v>
      </c>
      <c r="K402" s="13">
        <v>12.3104945054945</v>
      </c>
      <c r="L402" s="9">
        <f t="shared" si="357"/>
        <v>5.3500365079365106E-2</v>
      </c>
      <c r="M402" s="2">
        <f t="shared" si="358"/>
        <v>3437.62232652599</v>
      </c>
      <c r="N402" s="16">
        <f t="shared" si="369"/>
        <v>12.3104945054945</v>
      </c>
    </row>
    <row r="403" spans="1:14" ht="17">
      <c r="A403" s="1" t="s">
        <v>396</v>
      </c>
      <c r="B403" s="6">
        <f t="shared" si="382"/>
        <v>27785.738378240578</v>
      </c>
      <c r="C403" s="2">
        <v>3362.0743437671099</v>
      </c>
      <c r="D403" s="9">
        <v>8.32253968253968E-2</v>
      </c>
      <c r="E403" s="2">
        <f t="shared" si="367"/>
        <v>2243.8561200685203</v>
      </c>
      <c r="F403" s="9">
        <v>2.0867111111111107E-2</v>
      </c>
      <c r="G403" s="2">
        <f t="shared" si="368"/>
        <v>-5053.225214277958</v>
      </c>
      <c r="H403" s="7">
        <f t="shared" si="356"/>
        <v>-2.2520272886853583</v>
      </c>
      <c r="I403" s="9">
        <v>2.0867111111111107E-2</v>
      </c>
      <c r="J403" s="2">
        <v>-1331.4650842793201</v>
      </c>
      <c r="K403" s="13">
        <v>12.3372527472527</v>
      </c>
      <c r="L403" s="9">
        <f t="shared" si="357"/>
        <v>5.4096507936507922E-2</v>
      </c>
      <c r="M403" s="2">
        <f t="shared" si="358"/>
        <v>2243.8561200685203</v>
      </c>
      <c r="N403" s="16">
        <f t="shared" si="369"/>
        <v>12.3372527472527</v>
      </c>
    </row>
    <row r="404" spans="1:14" ht="17">
      <c r="A404" s="1" t="s">
        <v>397</v>
      </c>
      <c r="B404" s="6">
        <f t="shared" ref="B404" si="383">C404/11.09%</f>
        <v>59010.983288154646</v>
      </c>
      <c r="C404" s="2">
        <v>6544.3180466563499</v>
      </c>
      <c r="D404" s="9">
        <v>8.4142539682539694E-2</v>
      </c>
      <c r="E404" s="2">
        <f t="shared" si="367"/>
        <v>4425.4022535396634</v>
      </c>
      <c r="F404" s="9">
        <v>2.081591111111112E-2</v>
      </c>
      <c r="G404" s="2">
        <f t="shared" si="368"/>
        <v>-9947.6840358324444</v>
      </c>
      <c r="H404" s="7">
        <f t="shared" si="356"/>
        <v>-2.2478598477405702</v>
      </c>
      <c r="I404" s="9">
        <v>2.081591111111112E-2</v>
      </c>
      <c r="J404" s="2">
        <v>-1335.15961472308</v>
      </c>
      <c r="K404" s="13">
        <v>12.364010989011</v>
      </c>
      <c r="L404" s="9">
        <f t="shared" si="357"/>
        <v>5.46926507936508E-2</v>
      </c>
      <c r="M404" s="2">
        <f t="shared" si="358"/>
        <v>4425.4022535396634</v>
      </c>
      <c r="N404" s="16">
        <f t="shared" si="369"/>
        <v>12.364010989011</v>
      </c>
    </row>
    <row r="405" spans="1:14" ht="17">
      <c r="A405" s="1" t="s">
        <v>398</v>
      </c>
      <c r="B405" s="6">
        <f t="shared" ref="B405" si="384">C405/12.01%</f>
        <v>43858.851154739634</v>
      </c>
      <c r="C405" s="2">
        <v>5267.4480236842301</v>
      </c>
      <c r="D405" s="9">
        <v>8.5059682539682602E-2</v>
      </c>
      <c r="E405" s="2">
        <f t="shared" si="367"/>
        <v>3608.5742161720627</v>
      </c>
      <c r="F405" s="9">
        <v>2.168871111111113E-2</v>
      </c>
      <c r="G405" s="2">
        <f t="shared" si="368"/>
        <v>-8456.7673809221596</v>
      </c>
      <c r="H405" s="7">
        <f t="shared" si="356"/>
        <v>-2.3435204250539177</v>
      </c>
      <c r="I405" s="9">
        <v>2.168871111111113E-2</v>
      </c>
      <c r="J405" s="2">
        <v>-1338.85414516684</v>
      </c>
      <c r="K405" s="13">
        <v>12.3907692307692</v>
      </c>
      <c r="L405" s="9">
        <f t="shared" si="357"/>
        <v>5.5288793650793693E-2</v>
      </c>
      <c r="M405" s="2">
        <f t="shared" si="358"/>
        <v>3608.5742161720627</v>
      </c>
      <c r="N405" s="16">
        <f t="shared" si="369"/>
        <v>12.390769230769198</v>
      </c>
    </row>
    <row r="406" spans="1:14" ht="17">
      <c r="A406" s="1" t="s">
        <v>399</v>
      </c>
      <c r="B406" s="6">
        <f t="shared" ref="B406" si="385">C406/10.26%</f>
        <v>39047.22066206306</v>
      </c>
      <c r="C406" s="2">
        <v>4006.24483992767</v>
      </c>
      <c r="D406" s="9">
        <v>8.5976825396825399E-2</v>
      </c>
      <c r="E406" s="2">
        <f t="shared" si="367"/>
        <v>2780.1445612946468</v>
      </c>
      <c r="F406" s="9">
        <v>2.0937511111111112E-2</v>
      </c>
      <c r="G406" s="2">
        <f t="shared" si="368"/>
        <v>-6293.4291111238263</v>
      </c>
      <c r="H406" s="7">
        <f t="shared" si="356"/>
        <v>-2.2637057075165643</v>
      </c>
      <c r="I406" s="9">
        <v>2.0937511111111112E-2</v>
      </c>
      <c r="J406" s="2">
        <v>-1342.54867561059</v>
      </c>
      <c r="K406" s="13">
        <v>12.4175274725275</v>
      </c>
      <c r="L406" s="9">
        <f t="shared" si="357"/>
        <v>5.5884936507936508E-2</v>
      </c>
      <c r="M406" s="2">
        <f t="shared" si="358"/>
        <v>2780.1445612946468</v>
      </c>
      <c r="N406" s="16">
        <f t="shared" si="369"/>
        <v>12.417527472527498</v>
      </c>
    </row>
    <row r="407" spans="1:14" ht="17">
      <c r="A407" s="1" t="s">
        <v>400</v>
      </c>
      <c r="B407" s="6">
        <f t="shared" ref="B407" si="386">C407/11.36%</f>
        <v>25822.765711264525</v>
      </c>
      <c r="C407" s="2">
        <v>2933.4661847996499</v>
      </c>
      <c r="D407" s="9">
        <v>8.6893968253968307E-2</v>
      </c>
      <c r="E407" s="2">
        <f t="shared" si="367"/>
        <v>2061.8356648097983</v>
      </c>
      <c r="F407" s="9">
        <v>2.1278311111111125E-2</v>
      </c>
      <c r="G407" s="2">
        <f t="shared" si="368"/>
        <v>-4746.1859888999525</v>
      </c>
      <c r="H407" s="7">
        <f t="shared" si="356"/>
        <v>-2.3019225391747127</v>
      </c>
      <c r="I407" s="9">
        <v>2.1278311111111125E-2</v>
      </c>
      <c r="J407" s="2">
        <v>-1346.2432060543499</v>
      </c>
      <c r="K407" s="13">
        <v>12.4442857142857</v>
      </c>
      <c r="L407" s="9">
        <f t="shared" si="357"/>
        <v>5.6481079365079401E-2</v>
      </c>
      <c r="M407" s="2">
        <f t="shared" si="358"/>
        <v>2061.8356648097983</v>
      </c>
      <c r="N407" s="16">
        <f t="shared" si="369"/>
        <v>12.444285714285698</v>
      </c>
    </row>
    <row r="408" spans="1:14" ht="17">
      <c r="A408" s="1" t="s">
        <v>401</v>
      </c>
      <c r="B408" s="6">
        <f t="shared" ref="B408" si="387">C408/9.31%</f>
        <v>139590.91162728571</v>
      </c>
      <c r="C408" s="2">
        <v>12995.913872500299</v>
      </c>
      <c r="D408" s="9">
        <v>8.7811111111111104E-2</v>
      </c>
      <c r="E408" s="2">
        <f t="shared" si="367"/>
        <v>9250.6545570650105</v>
      </c>
      <c r="F408" s="9">
        <v>2.1619111111111113E-2</v>
      </c>
      <c r="G408" s="2">
        <f t="shared" si="368"/>
        <v>-21648.171763934828</v>
      </c>
      <c r="H408" s="7">
        <f t="shared" si="356"/>
        <v>-2.3401772956056877</v>
      </c>
      <c r="I408" s="9">
        <v>2.1619111111111113E-2</v>
      </c>
      <c r="J408" s="2">
        <v>-1349.9377364981101</v>
      </c>
      <c r="K408" s="13">
        <v>12.4710439560439</v>
      </c>
      <c r="L408" s="9">
        <f t="shared" si="357"/>
        <v>5.7077222222222217E-2</v>
      </c>
      <c r="M408" s="2">
        <f t="shared" si="358"/>
        <v>9250.6545570650105</v>
      </c>
      <c r="N408" s="16">
        <f t="shared" si="369"/>
        <v>12.471043956043903</v>
      </c>
    </row>
    <row r="409" spans="1:14" ht="17">
      <c r="A409" s="1" t="s">
        <v>402</v>
      </c>
      <c r="B409" s="6">
        <f t="shared" ref="B409:B410" si="388">C409/12.1%</f>
        <v>24958.744653682312</v>
      </c>
      <c r="C409" s="2">
        <v>3020.0081030955598</v>
      </c>
      <c r="D409" s="9">
        <v>8.8728253968253998E-2</v>
      </c>
      <c r="E409" s="2">
        <f t="shared" si="367"/>
        <v>2176.7925733402353</v>
      </c>
      <c r="F409" s="9">
        <v>2.400391111111112E-2</v>
      </c>
      <c r="G409" s="2">
        <f t="shared" si="368"/>
        <v>-5659.3441987968963</v>
      </c>
      <c r="H409" s="7">
        <f t="shared" si="356"/>
        <v>-2.5998546063177579</v>
      </c>
      <c r="I409" s="9">
        <v>2.400391111111112E-2</v>
      </c>
      <c r="J409" s="2">
        <v>-1353.6322669418601</v>
      </c>
      <c r="K409" s="13">
        <v>12.4978021978022</v>
      </c>
      <c r="L409" s="9">
        <f t="shared" si="357"/>
        <v>5.7673365079365102E-2</v>
      </c>
      <c r="M409" s="2">
        <f t="shared" si="358"/>
        <v>2176.7925733402353</v>
      </c>
      <c r="N409" s="16">
        <f t="shared" si="369"/>
        <v>12.4978021978022</v>
      </c>
    </row>
    <row r="410" spans="1:14" ht="17">
      <c r="A410" s="1" t="s">
        <v>403</v>
      </c>
      <c r="B410" s="6">
        <f t="shared" si="388"/>
        <v>86243.056055271911</v>
      </c>
      <c r="C410" s="2">
        <v>10435.409782687901</v>
      </c>
      <c r="D410" s="9">
        <v>8.9645396825396795E-2</v>
      </c>
      <c r="E410" s="2">
        <f t="shared" si="367"/>
        <v>7615.7617873987201</v>
      </c>
      <c r="F410" s="9">
        <v>2.2524711111111137E-2</v>
      </c>
      <c r="G410" s="2">
        <f t="shared" si="368"/>
        <v>-18590.647297992091</v>
      </c>
      <c r="H410" s="7">
        <f t="shared" si="356"/>
        <v>-2.4410752091475292</v>
      </c>
      <c r="I410" s="9">
        <v>2.2524711111111137E-2</v>
      </c>
      <c r="J410" s="2">
        <v>-1357.32679738562</v>
      </c>
      <c r="K410" s="13">
        <v>12.5245604395604</v>
      </c>
      <c r="L410" s="9">
        <f t="shared" si="357"/>
        <v>5.8269507936507918E-2</v>
      </c>
      <c r="M410" s="2">
        <f t="shared" si="358"/>
        <v>7615.7617873987201</v>
      </c>
      <c r="N410" s="16">
        <f t="shared" si="369"/>
        <v>12.5245604395604</v>
      </c>
    </row>
    <row r="411" spans="1:14" ht="17">
      <c r="A411" s="1" t="s">
        <v>404</v>
      </c>
      <c r="B411" s="6">
        <f t="shared" ref="B411" si="389">C411/11.09%</f>
        <v>240472.83118470875</v>
      </c>
      <c r="C411" s="2">
        <v>26668.436978384201</v>
      </c>
      <c r="D411" s="9">
        <v>9.0562539682539703E-2</v>
      </c>
      <c r="E411" s="2">
        <f t="shared" si="367"/>
        <v>19703.749113022273</v>
      </c>
      <c r="F411" s="9">
        <v>2.261351111111112E-2</v>
      </c>
      <c r="G411" s="2">
        <f t="shared" si="368"/>
        <v>-48316.163482519514</v>
      </c>
      <c r="H411" s="7">
        <f t="shared" si="356"/>
        <v>-2.452130465393878</v>
      </c>
      <c r="I411" s="9">
        <v>2.261351111111112E-2</v>
      </c>
      <c r="J411" s="2">
        <v>-1361.02132782938</v>
      </c>
      <c r="K411" s="13">
        <v>12.551318681318699</v>
      </c>
      <c r="L411" s="9">
        <f t="shared" si="357"/>
        <v>5.886565079365081E-2</v>
      </c>
      <c r="M411" s="2">
        <f t="shared" si="358"/>
        <v>19703.749113022273</v>
      </c>
      <c r="N411" s="16">
        <f t="shared" si="369"/>
        <v>12.551318681318698</v>
      </c>
    </row>
    <row r="412" spans="1:14" ht="17">
      <c r="A412" s="1" t="s">
        <v>405</v>
      </c>
      <c r="B412" s="6">
        <f t="shared" ref="B412" si="390">C412/12.01%</f>
        <v>236416.87095550375</v>
      </c>
      <c r="C412" s="2">
        <v>28393.666201756001</v>
      </c>
      <c r="D412" s="9">
        <v>9.1479682539682597E-2</v>
      </c>
      <c r="E412" s="2">
        <f t="shared" si="367"/>
        <v>21236.049269670511</v>
      </c>
      <c r="F412" s="9">
        <v>2.3178311111111131E-2</v>
      </c>
      <c r="G412" s="2">
        <f t="shared" si="368"/>
        <v>-53405.194850341126</v>
      </c>
      <c r="H412" s="7">
        <f t="shared" si="356"/>
        <v>-2.5148366427372548</v>
      </c>
      <c r="I412" s="9">
        <v>2.3178311111111131E-2</v>
      </c>
      <c r="J412" s="2">
        <v>-1364.7158582731299</v>
      </c>
      <c r="K412" s="13">
        <v>12.5780769230769</v>
      </c>
      <c r="L412" s="9">
        <f t="shared" si="357"/>
        <v>5.9461793650793689E-2</v>
      </c>
      <c r="M412" s="2">
        <f t="shared" si="358"/>
        <v>21236.049269670511</v>
      </c>
      <c r="N412" s="16">
        <f t="shared" si="369"/>
        <v>12.5780769230769</v>
      </c>
    </row>
    <row r="413" spans="1:14" ht="17">
      <c r="A413" s="1" t="s">
        <v>406</v>
      </c>
      <c r="B413" s="6">
        <f t="shared" ref="B413" si="391">C413/10.26%</f>
        <v>317811.90392470569</v>
      </c>
      <c r="C413" s="2">
        <v>32607.501342674801</v>
      </c>
      <c r="D413" s="9">
        <v>9.2396825396825394E-2</v>
      </c>
      <c r="E413" s="2">
        <f t="shared" si="367"/>
        <v>24684.543384096472</v>
      </c>
      <c r="F413" s="9">
        <v>2.3127111111111116E-2</v>
      </c>
      <c r="G413" s="2">
        <f t="shared" si="368"/>
        <v>-61976.304513757124</v>
      </c>
      <c r="H413" s="7">
        <f t="shared" si="356"/>
        <v>-2.5107332774762461</v>
      </c>
      <c r="I413" s="9">
        <v>2.3127111111111116E-2</v>
      </c>
      <c r="J413" s="2">
        <v>-1368.4103887168901</v>
      </c>
      <c r="K413" s="13">
        <v>12.6048351648351</v>
      </c>
      <c r="L413" s="9">
        <f t="shared" si="357"/>
        <v>6.0057936507936505E-2</v>
      </c>
      <c r="M413" s="2">
        <f t="shared" si="358"/>
        <v>24684.543384096472</v>
      </c>
      <c r="N413" s="16">
        <f t="shared" si="369"/>
        <v>12.6048351648351</v>
      </c>
    </row>
    <row r="414" spans="1:14" ht="17">
      <c r="A414" s="1" t="s">
        <v>407</v>
      </c>
      <c r="B414" s="6">
        <f t="shared" ref="B414" si="392">C414/11.36%</f>
        <v>41515.253206608017</v>
      </c>
      <c r="C414" s="2">
        <v>4716.1327642706701</v>
      </c>
      <c r="D414" s="9">
        <v>9.3313968253968302E-2</v>
      </c>
      <c r="E414" s="2">
        <f t="shared" si="367"/>
        <v>3613.3012853253658</v>
      </c>
      <c r="F414" s="9">
        <v>2.3999911111111129E-2</v>
      </c>
      <c r="G414" s="2">
        <f t="shared" si="368"/>
        <v>-9419.8284180151913</v>
      </c>
      <c r="H414" s="7">
        <f t="shared" si="356"/>
        <v>-2.6069867066640051</v>
      </c>
      <c r="I414" s="9">
        <v>2.3999911111111129E-2</v>
      </c>
      <c r="J414" s="2">
        <v>-1372.1049191606401</v>
      </c>
      <c r="K414" s="13">
        <v>12.631593406593399</v>
      </c>
      <c r="L414" s="9">
        <f t="shared" si="357"/>
        <v>6.0654079365079397E-2</v>
      </c>
      <c r="M414" s="2">
        <f t="shared" si="358"/>
        <v>3613.3012853253658</v>
      </c>
      <c r="N414" s="16">
        <f t="shared" si="369"/>
        <v>12.631593406593396</v>
      </c>
    </row>
    <row r="415" spans="1:14" ht="17">
      <c r="A415" s="1" t="s">
        <v>408</v>
      </c>
      <c r="B415" s="6">
        <f t="shared" ref="B415" si="393">C415/9.31%</f>
        <v>48380.744692194414</v>
      </c>
      <c r="C415" s="2">
        <v>4504.2473308433</v>
      </c>
      <c r="D415" s="9">
        <v>9.4231111111111196E-2</v>
      </c>
      <c r="E415" s="2">
        <f t="shared" si="367"/>
        <v>3492.2639010782723</v>
      </c>
      <c r="F415" s="9">
        <v>2.3248711111111136E-2</v>
      </c>
      <c r="G415" s="2">
        <f t="shared" si="368"/>
        <v>-8824.3740925881775</v>
      </c>
      <c r="H415" s="7">
        <f t="shared" si="356"/>
        <v>-2.5268348391035285</v>
      </c>
      <c r="I415" s="9">
        <v>2.3248711111111136E-2</v>
      </c>
      <c r="J415" s="2">
        <v>-1375.7994496044</v>
      </c>
      <c r="K415" s="13">
        <v>12.6583516483516</v>
      </c>
      <c r="L415" s="9">
        <f t="shared" si="357"/>
        <v>6.1250222222222282E-2</v>
      </c>
      <c r="M415" s="2">
        <f t="shared" si="358"/>
        <v>3492.2639010782723</v>
      </c>
      <c r="N415" s="16">
        <f t="shared" si="369"/>
        <v>12.658351648351601</v>
      </c>
    </row>
    <row r="416" spans="1:14" ht="17">
      <c r="A416" s="1" t="s">
        <v>409</v>
      </c>
      <c r="B416" s="6">
        <f t="shared" ref="B416:B417" si="394">C416/12.1%</f>
        <v>12069.190100060661</v>
      </c>
      <c r="C416" s="2">
        <v>1460.37200210734</v>
      </c>
      <c r="D416" s="9">
        <v>9.5148253968254007E-2</v>
      </c>
      <c r="E416" s="2">
        <f t="shared" si="367"/>
        <v>1145.7026345559345</v>
      </c>
      <c r="F416" s="9">
        <v>2.3589511111111121E-2</v>
      </c>
      <c r="G416" s="2">
        <f t="shared" si="368"/>
        <v>-2939.1139753876073</v>
      </c>
      <c r="H416" s="7">
        <f t="shared" si="356"/>
        <v>-2.5653375376297229</v>
      </c>
      <c r="I416" s="9">
        <v>2.3589511111111121E-2</v>
      </c>
      <c r="J416" s="2">
        <v>-1379.49398004816</v>
      </c>
      <c r="K416" s="13">
        <v>12.685109890109899</v>
      </c>
      <c r="L416" s="9">
        <f t="shared" si="357"/>
        <v>6.1846365079365105E-2</v>
      </c>
      <c r="M416" s="2">
        <f t="shared" si="358"/>
        <v>1145.7026345559345</v>
      </c>
      <c r="N416" s="16">
        <f t="shared" si="369"/>
        <v>12.685109890109899</v>
      </c>
    </row>
    <row r="417" spans="1:14" ht="17">
      <c r="A417" s="1" t="s">
        <v>410</v>
      </c>
      <c r="B417" s="6">
        <f t="shared" si="394"/>
        <v>15658.528170628595</v>
      </c>
      <c r="C417" s="2">
        <v>1894.68190864606</v>
      </c>
      <c r="D417" s="9">
        <v>9.6065396825396901E-2</v>
      </c>
      <c r="E417" s="2">
        <f t="shared" si="367"/>
        <v>1503.9244676313895</v>
      </c>
      <c r="F417" s="9">
        <v>2.3930311111111133E-2</v>
      </c>
      <c r="G417" s="2">
        <f t="shared" si="368"/>
        <v>-3916.0331864585005</v>
      </c>
      <c r="H417" s="7">
        <f t="shared" si="356"/>
        <v>-2.6038762389617007</v>
      </c>
      <c r="I417" s="9">
        <v>2.3930311111111133E-2</v>
      </c>
      <c r="J417" s="2">
        <v>-1383.1885104919099</v>
      </c>
      <c r="K417" s="13">
        <v>12.711868131868099</v>
      </c>
      <c r="L417" s="9">
        <f t="shared" si="357"/>
        <v>6.244250793650799E-2</v>
      </c>
      <c r="M417" s="2">
        <f t="shared" si="358"/>
        <v>1503.9244676313895</v>
      </c>
      <c r="N417" s="16">
        <f t="shared" si="369"/>
        <v>12.711868131868099</v>
      </c>
    </row>
    <row r="418" spans="1:14" ht="17">
      <c r="A418" s="1" t="s">
        <v>411</v>
      </c>
      <c r="B418" s="6">
        <f t="shared" ref="B418" si="395">C418/11.09%</f>
        <v>307140.08990551671</v>
      </c>
      <c r="C418" s="2">
        <v>34061.835970521803</v>
      </c>
      <c r="D418" s="9">
        <v>6.8777142857142898E-2</v>
      </c>
      <c r="E418" s="2">
        <f t="shared" si="367"/>
        <v>19397.606281529261</v>
      </c>
      <c r="F418" s="9">
        <v>1.8417600000000013E-2</v>
      </c>
      <c r="G418" s="2">
        <f t="shared" si="368"/>
        <v>-38895.415425334984</v>
      </c>
      <c r="H418" s="7">
        <f t="shared" si="356"/>
        <v>-2.0051657333808182</v>
      </c>
      <c r="I418" s="9">
        <v>1.8417600000000013E-2</v>
      </c>
      <c r="J418" s="2">
        <v>-1386.8830409356699</v>
      </c>
      <c r="K418" s="13">
        <v>12.738626373626399</v>
      </c>
      <c r="L418" s="9">
        <f t="shared" si="357"/>
        <v>4.4705142857142888E-2</v>
      </c>
      <c r="M418" s="2">
        <f t="shared" si="358"/>
        <v>19397.606281529261</v>
      </c>
      <c r="N418" s="16">
        <f t="shared" si="369"/>
        <v>12.738626373626401</v>
      </c>
    </row>
    <row r="419" spans="1:14" ht="17">
      <c r="A419" s="1" t="s">
        <v>412</v>
      </c>
      <c r="B419" s="6">
        <f t="shared" ref="B419" si="396">C419/12.01%</f>
        <v>66599.936897770443</v>
      </c>
      <c r="C419" s="2">
        <v>7998.65242142223</v>
      </c>
      <c r="D419" s="9">
        <v>6.9602857142857105E-2</v>
      </c>
      <c r="E419" s="2">
        <f t="shared" si="367"/>
        <v>4619.4593904814774</v>
      </c>
      <c r="F419" s="9">
        <v>1.6912799999999988E-2</v>
      </c>
      <c r="G419" s="2">
        <f t="shared" si="368"/>
        <v>-8510.7529251334017</v>
      </c>
      <c r="H419" s="7">
        <f t="shared" si="356"/>
        <v>-1.8423698978001715</v>
      </c>
      <c r="I419" s="9">
        <v>1.6912799999999988E-2</v>
      </c>
      <c r="J419" s="2">
        <v>-1390.5775713794301</v>
      </c>
      <c r="K419" s="13">
        <v>12.765384615384599</v>
      </c>
      <c r="L419" s="9">
        <f t="shared" si="357"/>
        <v>4.5241857142857118E-2</v>
      </c>
      <c r="M419" s="2">
        <f t="shared" si="358"/>
        <v>4619.4593904814774</v>
      </c>
      <c r="N419" s="16">
        <f t="shared" si="369"/>
        <v>12.765384615384601</v>
      </c>
    </row>
    <row r="420" spans="1:14" ht="17">
      <c r="A420" s="1" t="s">
        <v>413</v>
      </c>
      <c r="B420" s="6">
        <f t="shared" ref="B420" si="397">C420/10.26%</f>
        <v>39838.66112458655</v>
      </c>
      <c r="C420" s="2">
        <v>4087.4466313825801</v>
      </c>
      <c r="D420" s="9">
        <v>7.0428571428571396E-2</v>
      </c>
      <c r="E420" s="2">
        <f t="shared" si="367"/>
        <v>2393.6333762890131</v>
      </c>
      <c r="F420" s="9">
        <v>1.6975999999999995E-2</v>
      </c>
      <c r="G420" s="2">
        <f t="shared" si="368"/>
        <v>-4428.913877711585</v>
      </c>
      <c r="H420" s="7">
        <f t="shared" si="356"/>
        <v>-1.8502891552164031</v>
      </c>
      <c r="I420" s="9">
        <v>1.6975999999999995E-2</v>
      </c>
      <c r="J420" s="2">
        <v>-1394.27210182318</v>
      </c>
      <c r="K420" s="13">
        <v>12.7921428571428</v>
      </c>
      <c r="L420" s="9">
        <f t="shared" si="357"/>
        <v>4.5778571428571412E-2</v>
      </c>
      <c r="M420" s="2">
        <f t="shared" si="358"/>
        <v>2393.6333762890131</v>
      </c>
      <c r="N420" s="16">
        <f t="shared" si="369"/>
        <v>12.7921428571428</v>
      </c>
    </row>
    <row r="421" spans="1:14" ht="17">
      <c r="A421" s="1" t="s">
        <v>414</v>
      </c>
      <c r="B421" s="6">
        <f t="shared" ref="B421" si="398">C421/11.36%</f>
        <v>339677.63602658192</v>
      </c>
      <c r="C421" s="2">
        <v>38587.379452619702</v>
      </c>
      <c r="D421" s="9">
        <v>8.8728253968253998E-2</v>
      </c>
      <c r="E421" s="2">
        <f t="shared" si="367"/>
        <v>28528.003205217181</v>
      </c>
      <c r="F421" s="9">
        <v>2.2407911111111123E-2</v>
      </c>
      <c r="G421" s="2">
        <f t="shared" si="368"/>
        <v>-69713.800017887741</v>
      </c>
      <c r="H421" s="7">
        <f t="shared" si="356"/>
        <v>-2.4436971461479131</v>
      </c>
      <c r="I421" s="9">
        <v>2.2407911111111123E-2</v>
      </c>
      <c r="J421" s="2">
        <v>-1397.96663226694</v>
      </c>
      <c r="K421" s="13">
        <v>12.818901098901099</v>
      </c>
      <c r="L421" s="9">
        <f t="shared" si="357"/>
        <v>5.7673365079365102E-2</v>
      </c>
      <c r="M421" s="2">
        <f t="shared" si="358"/>
        <v>28528.003205217181</v>
      </c>
      <c r="N421" s="16">
        <f t="shared" si="369"/>
        <v>12.818901098901099</v>
      </c>
    </row>
    <row r="422" spans="1:14" ht="17">
      <c r="A422" s="1" t="s">
        <v>415</v>
      </c>
      <c r="B422" s="6">
        <f t="shared" ref="B422" si="399">C422/9.31%</f>
        <v>28491.310745121267</v>
      </c>
      <c r="C422" s="2">
        <v>2652.5410303707899</v>
      </c>
      <c r="D422" s="9">
        <v>8.9645396825396795E-2</v>
      </c>
      <c r="E422" s="2">
        <f t="shared" si="367"/>
        <v>1985.4541468608968</v>
      </c>
      <c r="F422" s="9">
        <v>2.2356711111111108E-2</v>
      </c>
      <c r="G422" s="2">
        <f t="shared" si="368"/>
        <v>-4843.4454872156239</v>
      </c>
      <c r="H422" s="7">
        <f t="shared" si="356"/>
        <v>-2.4394647919083678</v>
      </c>
      <c r="I422" s="9">
        <v>2.2356711111111108E-2</v>
      </c>
      <c r="J422" s="2">
        <v>-1401.6611627107</v>
      </c>
      <c r="K422" s="13">
        <v>12.845659340659299</v>
      </c>
      <c r="L422" s="9">
        <f t="shared" si="357"/>
        <v>5.8269507936507918E-2</v>
      </c>
      <c r="M422" s="2">
        <f t="shared" si="358"/>
        <v>1985.4541468608968</v>
      </c>
      <c r="N422" s="16">
        <f t="shared" si="369"/>
        <v>12.845659340659299</v>
      </c>
    </row>
    <row r="423" spans="1:14" ht="17">
      <c r="A423" s="1" t="s">
        <v>416</v>
      </c>
      <c r="B423" s="6">
        <f t="shared" ref="B423:B424" si="400">C423/12.1%</f>
        <v>104185.18086374298</v>
      </c>
      <c r="C423" s="2">
        <v>12606.4068845129</v>
      </c>
      <c r="D423" s="9">
        <v>9.0562539682539703E-2</v>
      </c>
      <c r="E423" s="2">
        <f t="shared" si="367"/>
        <v>9552.4195757037996</v>
      </c>
      <c r="F423" s="9">
        <v>2.3229511111111115E-2</v>
      </c>
      <c r="G423" s="2">
        <f t="shared" si="368"/>
        <v>-24225.881979036141</v>
      </c>
      <c r="H423" s="7">
        <f t="shared" si="356"/>
        <v>-2.5360990257016884</v>
      </c>
      <c r="I423" s="9">
        <v>2.3229511111111115E-2</v>
      </c>
      <c r="J423" s="2">
        <v>-1405.3556931544499</v>
      </c>
      <c r="K423" s="13">
        <v>12.872417582417601</v>
      </c>
      <c r="L423" s="9">
        <f t="shared" si="357"/>
        <v>5.886565079365081E-2</v>
      </c>
      <c r="M423" s="2">
        <f t="shared" si="358"/>
        <v>9552.4195757037996</v>
      </c>
      <c r="N423" s="16">
        <f t="shared" si="369"/>
        <v>12.872417582417599</v>
      </c>
    </row>
    <row r="424" spans="1:14" ht="17">
      <c r="A424" s="1" t="s">
        <v>417</v>
      </c>
      <c r="B424" s="6">
        <f t="shared" si="400"/>
        <v>79354.630162156944</v>
      </c>
      <c r="C424" s="2">
        <v>9601.9102496209907</v>
      </c>
      <c r="D424" s="9">
        <v>9.1479682539682597E-2</v>
      </c>
      <c r="E424" s="2">
        <f t="shared" si="367"/>
        <v>7364.7432357672742</v>
      </c>
      <c r="F424" s="9">
        <v>2.2478311111111128E-2</v>
      </c>
      <c r="G424" s="2">
        <f t="shared" si="368"/>
        <v>-18083.637748817415</v>
      </c>
      <c r="H424" s="7">
        <f t="shared" si="356"/>
        <v>-2.45543356637245</v>
      </c>
      <c r="I424" s="9">
        <v>2.2478311111111128E-2</v>
      </c>
      <c r="J424" s="2">
        <v>-1409.0502235982101</v>
      </c>
      <c r="K424" s="13">
        <v>12.899175824175799</v>
      </c>
      <c r="L424" s="9">
        <f t="shared" si="357"/>
        <v>5.9461793650793689E-2</v>
      </c>
      <c r="M424" s="2">
        <f t="shared" si="358"/>
        <v>7364.7432357672742</v>
      </c>
      <c r="N424" s="16">
        <f t="shared" si="369"/>
        <v>12.899175824175797</v>
      </c>
    </row>
    <row r="425" spans="1:14" ht="17">
      <c r="A425" s="1" t="s">
        <v>418</v>
      </c>
      <c r="B425" s="6">
        <f t="shared" ref="B425" si="401">C425/11.09%</f>
        <v>53079.276587328852</v>
      </c>
      <c r="C425" s="2">
        <v>5886.4917735347699</v>
      </c>
      <c r="D425" s="9">
        <v>9.2396825396825394E-2</v>
      </c>
      <c r="E425" s="2">
        <f t="shared" si="367"/>
        <v>4569.7125691161609</v>
      </c>
      <c r="F425" s="9">
        <v>2.2819111111111113E-2</v>
      </c>
      <c r="G425" s="2">
        <f t="shared" si="368"/>
        <v>-11396.969190166221</v>
      </c>
      <c r="H425" s="7">
        <f t="shared" si="356"/>
        <v>-2.4940232055712284</v>
      </c>
      <c r="I425" s="9">
        <v>2.2819111111111113E-2</v>
      </c>
      <c r="J425" s="2">
        <v>-1412.7447540419701</v>
      </c>
      <c r="K425" s="13">
        <v>12.925934065933999</v>
      </c>
      <c r="L425" s="9">
        <f t="shared" si="357"/>
        <v>6.0057936507936505E-2</v>
      </c>
      <c r="M425" s="2">
        <f t="shared" si="358"/>
        <v>4569.7125691161609</v>
      </c>
      <c r="N425" s="16">
        <f t="shared" si="369"/>
        <v>12.925934065933999</v>
      </c>
    </row>
    <row r="426" spans="1:14" ht="17">
      <c r="A426" s="1" t="s">
        <v>419</v>
      </c>
      <c r="B426" s="6">
        <f t="shared" ref="B426" si="402">C426/12.01%</f>
        <v>41439.920195344632</v>
      </c>
      <c r="C426" s="2">
        <v>4976.9344154608898</v>
      </c>
      <c r="D426" s="9">
        <v>9.3313968253968302E-2</v>
      </c>
      <c r="E426" s="2">
        <f t="shared" si="367"/>
        <v>3910.0470372656496</v>
      </c>
      <c r="F426" s="9">
        <v>2.3159911111111126E-2</v>
      </c>
      <c r="G426" s="2">
        <f t="shared" si="368"/>
        <v>-9902.7721010337755</v>
      </c>
      <c r="H426" s="7">
        <f t="shared" si="356"/>
        <v>-2.532647818978393</v>
      </c>
      <c r="I426" s="9">
        <v>2.3159911111111126E-2</v>
      </c>
      <c r="J426" s="2">
        <v>-1416.43928448572</v>
      </c>
      <c r="K426" s="13">
        <v>12.952692307692301</v>
      </c>
      <c r="L426" s="9">
        <f t="shared" si="357"/>
        <v>6.0654079365079397E-2</v>
      </c>
      <c r="M426" s="2">
        <f t="shared" si="358"/>
        <v>3910.0470372656496</v>
      </c>
      <c r="N426" s="16">
        <f t="shared" si="369"/>
        <v>12.952692307692304</v>
      </c>
    </row>
    <row r="427" spans="1:14" ht="17">
      <c r="A427" s="1" t="s">
        <v>420</v>
      </c>
      <c r="B427" s="6">
        <f t="shared" ref="B427" si="403">C427/10.26%</f>
        <v>52306.372662812384</v>
      </c>
      <c r="C427" s="2">
        <v>5366.6338352045505</v>
      </c>
      <c r="D427" s="9">
        <v>9.4231111111111196E-2</v>
      </c>
      <c r="E427" s="2">
        <f t="shared" si="367"/>
        <v>4266.442936065916</v>
      </c>
      <c r="F427" s="9">
        <v>2.5544711111111135E-2</v>
      </c>
      <c r="G427" s="2">
        <f t="shared" si="368"/>
        <v>-11924.492293897316</v>
      </c>
      <c r="H427" s="7">
        <f t="shared" si="356"/>
        <v>-2.7949494397534078</v>
      </c>
      <c r="I427" s="9">
        <v>2.5544711111111135E-2</v>
      </c>
      <c r="J427" s="2">
        <v>-1420.13381492948</v>
      </c>
      <c r="K427" s="13">
        <v>12.979450549450499</v>
      </c>
      <c r="L427" s="9">
        <f t="shared" si="357"/>
        <v>6.1250222222222282E-2</v>
      </c>
      <c r="M427" s="2">
        <f t="shared" si="358"/>
        <v>4266.442936065916</v>
      </c>
      <c r="N427" s="16">
        <f t="shared" si="369"/>
        <v>12.979450549450499</v>
      </c>
    </row>
    <row r="428" spans="1:14" ht="17">
      <c r="A428" s="1" t="s">
        <v>421</v>
      </c>
      <c r="B428" s="6">
        <f t="shared" ref="B428" si="404">C428/11.36%</f>
        <v>237900.38719242782</v>
      </c>
      <c r="C428" s="2">
        <v>27025.4839850598</v>
      </c>
      <c r="D428" s="9">
        <v>9.5148253968254007E-2</v>
      </c>
      <c r="E428" s="2">
        <f t="shared" si="367"/>
        <v>21738.940883980875</v>
      </c>
      <c r="F428" s="9">
        <v>2.4065511111111122E-2</v>
      </c>
      <c r="G428" s="2">
        <f t="shared" si="368"/>
        <v>-57271.7408620645</v>
      </c>
      <c r="H428" s="7">
        <f t="shared" si="356"/>
        <v>-2.6345230509489657</v>
      </c>
      <c r="I428" s="9">
        <v>2.4065511111111122E-2</v>
      </c>
      <c r="J428" s="2">
        <v>-1423.8283453732399</v>
      </c>
      <c r="K428" s="13">
        <v>13.006208791208801</v>
      </c>
      <c r="L428" s="9">
        <f t="shared" si="357"/>
        <v>6.1846365079365105E-2</v>
      </c>
      <c r="M428" s="2">
        <f t="shared" si="358"/>
        <v>21738.940883980875</v>
      </c>
      <c r="N428" s="16">
        <f t="shared" si="369"/>
        <v>13.006208791208801</v>
      </c>
    </row>
    <row r="429" spans="1:14" ht="17">
      <c r="A429" s="1" t="s">
        <v>422</v>
      </c>
      <c r="B429" s="6">
        <f t="shared" ref="B429" si="405">C429/9.31%</f>
        <v>324178.53251219227</v>
      </c>
      <c r="C429" s="2">
        <v>30181.021376885099</v>
      </c>
      <c r="D429" s="9">
        <v>9.6065396825396901E-2</v>
      </c>
      <c r="E429" s="2">
        <f t="shared" si="367"/>
        <v>24561.651636194063</v>
      </c>
      <c r="F429" s="9">
        <v>2.4154311111111135E-2</v>
      </c>
      <c r="G429" s="2">
        <f t="shared" si="368"/>
        <v>-64981.839763301323</v>
      </c>
      <c r="H429" s="7">
        <f t="shared" si="356"/>
        <v>-2.6456624630057064</v>
      </c>
      <c r="I429" s="9">
        <v>2.4154311111111135E-2</v>
      </c>
      <c r="J429" s="2">
        <v>-1427.5228758169901</v>
      </c>
      <c r="K429" s="13">
        <v>13.032967032967001</v>
      </c>
      <c r="L429" s="9">
        <f t="shared" si="357"/>
        <v>6.244250793650799E-2</v>
      </c>
      <c r="M429" s="2">
        <f t="shared" si="358"/>
        <v>24561.651636194063</v>
      </c>
      <c r="N429" s="16">
        <f t="shared" si="369"/>
        <v>13.032967032966999</v>
      </c>
    </row>
    <row r="430" spans="1:14" ht="17">
      <c r="A430" s="1" t="s">
        <v>423</v>
      </c>
      <c r="B430" s="6">
        <f t="shared" ref="B430:B431" si="406">C430/12.1%</f>
        <v>234877.92255942893</v>
      </c>
      <c r="C430" s="2">
        <v>28420.228629690901</v>
      </c>
      <c r="D430" s="9">
        <v>6.0859999999999997E-2</v>
      </c>
      <c r="E430" s="2">
        <f t="shared" si="367"/>
        <v>14682.733399182282</v>
      </c>
      <c r="F430" s="9">
        <v>1.4604800000000001E-2</v>
      </c>
      <c r="G430" s="2">
        <f t="shared" si="368"/>
        <v>-23500.337286288974</v>
      </c>
      <c r="H430" s="7">
        <f t="shared" si="356"/>
        <v>-1.6005423954369264</v>
      </c>
      <c r="I430" s="9">
        <v>1.4604800000000001E-2</v>
      </c>
      <c r="J430" s="2">
        <v>-1431.2174062607501</v>
      </c>
      <c r="K430" s="13">
        <v>13.059725274725301</v>
      </c>
      <c r="L430" s="9">
        <f t="shared" si="357"/>
        <v>3.9558999999999997E-2</v>
      </c>
      <c r="M430" s="2">
        <f t="shared" si="358"/>
        <v>14682.733399182282</v>
      </c>
      <c r="N430" s="16">
        <f t="shared" si="369"/>
        <v>13.059725274725301</v>
      </c>
    </row>
    <row r="431" spans="1:14" ht="17">
      <c r="A431" s="1" t="s">
        <v>424</v>
      </c>
      <c r="B431" s="6">
        <f t="shared" si="406"/>
        <v>319731.54874890414</v>
      </c>
      <c r="C431" s="2">
        <v>38687.517398617398</v>
      </c>
      <c r="D431" s="9">
        <v>6.0277142857142897E-2</v>
      </c>
      <c r="E431" s="2">
        <f t="shared" si="367"/>
        <v>19836.262157290545</v>
      </c>
      <c r="F431" s="9">
        <v>1.4133600000000014E-2</v>
      </c>
      <c r="G431" s="2">
        <f t="shared" si="368"/>
        <v>-30740.782719641018</v>
      </c>
      <c r="H431" s="7">
        <f t="shared" si="356"/>
        <v>-1.5497265803347264</v>
      </c>
      <c r="I431" s="9">
        <v>1.4133600000000014E-2</v>
      </c>
      <c r="J431" s="2">
        <v>-1434.9119367045</v>
      </c>
      <c r="K431" s="13">
        <v>13.086483516483501</v>
      </c>
      <c r="L431" s="9">
        <f t="shared" si="357"/>
        <v>3.9180142857142886E-2</v>
      </c>
      <c r="M431" s="2">
        <f t="shared" si="358"/>
        <v>19836.262157290545</v>
      </c>
      <c r="N431" s="16">
        <f t="shared" si="369"/>
        <v>13.086483516483501</v>
      </c>
    </row>
    <row r="432" spans="1:14" ht="17">
      <c r="A432" s="1" t="s">
        <v>425</v>
      </c>
      <c r="B432" s="6">
        <f t="shared" ref="B432" si="407">C432/11.09%</f>
        <v>53425.858607502436</v>
      </c>
      <c r="C432" s="2">
        <v>5924.9277195720197</v>
      </c>
      <c r="D432" s="9">
        <v>8.3500000000000005E-2</v>
      </c>
      <c r="E432" s="2">
        <f t="shared" si="367"/>
        <v>4216.8966453265866</v>
      </c>
      <c r="F432" s="9">
        <v>2.1252E-2</v>
      </c>
      <c r="G432" s="2">
        <f t="shared" si="368"/>
        <v>-9831.6113950520466</v>
      </c>
      <c r="H432" s="7">
        <f t="shared" si="356"/>
        <v>-2.3314802856143078</v>
      </c>
      <c r="I432" s="9">
        <v>2.1252E-2</v>
      </c>
      <c r="J432" s="2">
        <v>-1438.60646714826</v>
      </c>
      <c r="K432" s="13">
        <v>13.113241758241699</v>
      </c>
      <c r="L432" s="9">
        <f t="shared" si="357"/>
        <v>5.4275000000000004E-2</v>
      </c>
      <c r="M432" s="2">
        <f t="shared" si="358"/>
        <v>4216.8966453265866</v>
      </c>
      <c r="N432" s="16">
        <f t="shared" si="369"/>
        <v>13.113241758241697</v>
      </c>
    </row>
    <row r="433" spans="1:14" ht="17">
      <c r="A433" s="1" t="s">
        <v>426</v>
      </c>
      <c r="B433" s="6">
        <f t="shared" ref="B433" si="408">C433/12.01%</f>
        <v>25525.270387484848</v>
      </c>
      <c r="C433" s="2">
        <v>3065.5849735369302</v>
      </c>
      <c r="D433" s="9">
        <v>8.9800000000000005E-2</v>
      </c>
      <c r="E433" s="2">
        <f t="shared" si="367"/>
        <v>2351.2478810563075</v>
      </c>
      <c r="F433" s="9">
        <v>2.2008000000000003E-2</v>
      </c>
      <c r="G433" s="2">
        <f t="shared" si="368"/>
        <v>-5679.8848763208107</v>
      </c>
      <c r="H433" s="7">
        <f t="shared" si="356"/>
        <v>-2.4156895247340318</v>
      </c>
      <c r="I433" s="9">
        <v>2.2008000000000003E-2</v>
      </c>
      <c r="J433" s="2">
        <v>-1442.3009975920199</v>
      </c>
      <c r="K433" s="13">
        <v>13.14</v>
      </c>
      <c r="L433" s="9">
        <f t="shared" si="357"/>
        <v>5.8370000000000005E-2</v>
      </c>
      <c r="M433" s="2">
        <f t="shared" si="358"/>
        <v>2351.2478810563075</v>
      </c>
      <c r="N433" s="16">
        <f t="shared" si="369"/>
        <v>13.14</v>
      </c>
    </row>
    <row r="434" spans="1:14" ht="17">
      <c r="A434" s="1" t="s">
        <v>427</v>
      </c>
      <c r="B434" s="6">
        <f t="shared" ref="B434" si="409">C434/10.26%</f>
        <v>127652.78983984404</v>
      </c>
      <c r="C434" s="2">
        <v>13097.176237567999</v>
      </c>
      <c r="D434" s="9">
        <v>8.8700000000000001E-2</v>
      </c>
      <c r="E434" s="2">
        <f t="shared" si="367"/>
        <v>9942.4521470024065</v>
      </c>
      <c r="F434" s="9">
        <v>2.1784000000000001E-2</v>
      </c>
      <c r="G434" s="2">
        <f t="shared" si="368"/>
        <v>-23785.880142225564</v>
      </c>
      <c r="H434" s="7">
        <f t="shared" si="356"/>
        <v>-2.3923555065232951</v>
      </c>
      <c r="I434" s="9">
        <v>2.1784000000000001E-2</v>
      </c>
      <c r="J434" s="2">
        <v>-1445.9955280357699</v>
      </c>
      <c r="K434" s="13">
        <v>13.166758241758201</v>
      </c>
      <c r="L434" s="9">
        <f t="shared" si="357"/>
        <v>5.7655000000000005E-2</v>
      </c>
      <c r="M434" s="2">
        <f t="shared" si="358"/>
        <v>9942.4521470024065</v>
      </c>
      <c r="N434" s="16">
        <f t="shared" si="369"/>
        <v>13.166758241758201</v>
      </c>
    </row>
    <row r="435" spans="1:14" ht="17">
      <c r="A435" s="1" t="s">
        <v>428</v>
      </c>
      <c r="B435" s="6">
        <f t="shared" ref="B435" si="410">C435/11.36%</f>
        <v>29515.8322000265</v>
      </c>
      <c r="C435" s="2">
        <v>3352.9985379230102</v>
      </c>
      <c r="D435" s="9">
        <v>5.9900000000000002E-2</v>
      </c>
      <c r="E435" s="2">
        <f t="shared" si="367"/>
        <v>1722.4003579963107</v>
      </c>
      <c r="F435" s="9">
        <v>1.3804E-2</v>
      </c>
      <c r="G435" s="2">
        <f t="shared" si="368"/>
        <v>-2612.4840905415658</v>
      </c>
      <c r="H435" s="7">
        <f t="shared" si="356"/>
        <v>-1.5167693610913437</v>
      </c>
      <c r="I435" s="9">
        <v>1.3804E-2</v>
      </c>
      <c r="J435" s="2">
        <v>-1449.6900584795301</v>
      </c>
      <c r="K435" s="13">
        <v>13.1935164835165</v>
      </c>
      <c r="L435" s="9">
        <f t="shared" si="357"/>
        <v>3.8935000000000004E-2</v>
      </c>
      <c r="M435" s="2">
        <f t="shared" si="358"/>
        <v>1722.4003579963107</v>
      </c>
      <c r="N435" s="16">
        <f t="shared" si="369"/>
        <v>13.1935164835165</v>
      </c>
    </row>
    <row r="436" spans="1:14" ht="17">
      <c r="A436" s="1" t="s">
        <v>429</v>
      </c>
      <c r="B436" s="6">
        <f t="shared" ref="B436" si="411">C436/9.31%</f>
        <v>119748.8427688045</v>
      </c>
      <c r="C436" s="2">
        <v>11148.6172617757</v>
      </c>
      <c r="D436" s="9">
        <v>8.1100000000000005E-2</v>
      </c>
      <c r="E436" s="2">
        <f t="shared" si="367"/>
        <v>7769.5469812464007</v>
      </c>
      <c r="F436" s="9">
        <v>2.1868000000000002E-2</v>
      </c>
      <c r="G436" s="2">
        <f t="shared" si="368"/>
        <v>-18678.621985699028</v>
      </c>
      <c r="H436" s="7">
        <f t="shared" si="356"/>
        <v>-2.4040812200227637</v>
      </c>
      <c r="I436" s="9">
        <v>2.1868000000000002E-2</v>
      </c>
      <c r="J436" s="2">
        <v>-1453.38458892329</v>
      </c>
      <c r="K436" s="13">
        <v>13.220274725274701</v>
      </c>
      <c r="L436" s="9">
        <f t="shared" si="357"/>
        <v>5.2715000000000005E-2</v>
      </c>
      <c r="M436" s="2">
        <f t="shared" si="358"/>
        <v>7769.5469812464007</v>
      </c>
      <c r="N436" s="16">
        <f t="shared" si="369"/>
        <v>13.220274725274701</v>
      </c>
    </row>
    <row r="437" spans="1:14" ht="17">
      <c r="A437" s="1" t="s">
        <v>430</v>
      </c>
      <c r="B437" s="6">
        <f t="shared" ref="B437:B438" si="412">C437/12.1%</f>
        <v>39251.925925939337</v>
      </c>
      <c r="C437" s="2">
        <v>4749.4830370386599</v>
      </c>
      <c r="D437" s="9">
        <v>7.4399999999999994E-2</v>
      </c>
      <c r="E437" s="2">
        <f t="shared" si="367"/>
        <v>3042.6447626771896</v>
      </c>
      <c r="F437" s="9">
        <v>1.8256000000000001E-2</v>
      </c>
      <c r="G437" s="2">
        <f t="shared" si="368"/>
        <v>-6109.7212265143799</v>
      </c>
      <c r="H437" s="7">
        <f t="shared" si="356"/>
        <v>-2.008029758011745</v>
      </c>
      <c r="I437" s="9">
        <v>1.8256000000000001E-2</v>
      </c>
      <c r="J437" s="2">
        <v>-1457.07911936704</v>
      </c>
      <c r="K437" s="13">
        <v>13.247032967032901</v>
      </c>
      <c r="L437" s="9">
        <f t="shared" si="357"/>
        <v>4.836E-2</v>
      </c>
      <c r="M437" s="2">
        <f t="shared" si="358"/>
        <v>3042.6447626771896</v>
      </c>
      <c r="N437" s="16">
        <f t="shared" si="369"/>
        <v>13.247032967032903</v>
      </c>
    </row>
    <row r="438" spans="1:14" ht="17">
      <c r="A438" s="1" t="s">
        <v>431</v>
      </c>
      <c r="B438" s="6">
        <f t="shared" si="412"/>
        <v>62438.33434004744</v>
      </c>
      <c r="C438" s="2">
        <v>7555.03845514574</v>
      </c>
      <c r="D438" s="9">
        <v>8.0860000000000001E-2</v>
      </c>
      <c r="E438" s="2">
        <f t="shared" si="367"/>
        <v>5270.8269151482828</v>
      </c>
      <c r="F438" s="9">
        <v>1.9896800000000003E-2</v>
      </c>
      <c r="G438" s="2">
        <f t="shared" si="368"/>
        <v>-11541.172536036353</v>
      </c>
      <c r="H438" s="7">
        <f t="shared" si="356"/>
        <v>-2.1896322383243478</v>
      </c>
      <c r="I438" s="9">
        <v>1.9896800000000003E-2</v>
      </c>
      <c r="J438" s="2">
        <v>-1460.7736498108</v>
      </c>
      <c r="K438" s="13">
        <v>13.2737912087912</v>
      </c>
      <c r="L438" s="9">
        <f t="shared" si="357"/>
        <v>5.2559000000000002E-2</v>
      </c>
      <c r="M438" s="2">
        <f t="shared" si="358"/>
        <v>5270.8269151482828</v>
      </c>
      <c r="N438" s="16">
        <f t="shared" si="369"/>
        <v>13.2737912087912</v>
      </c>
    </row>
    <row r="439" spans="1:14" ht="17">
      <c r="A439" s="1" t="s">
        <v>432</v>
      </c>
      <c r="B439" s="6">
        <f t="shared" ref="B439" si="413">C439/11.09%</f>
        <v>79992.304740284046</v>
      </c>
      <c r="C439" s="2">
        <v>8871.1465956975007</v>
      </c>
      <c r="D439" s="9">
        <v>7.0277142857142899E-2</v>
      </c>
      <c r="E439" s="2">
        <f t="shared" si="367"/>
        <v>5389.8513992423195</v>
      </c>
      <c r="F439" s="9">
        <v>1.7241600000000013E-2</v>
      </c>
      <c r="G439" s="2">
        <f t="shared" si="368"/>
        <v>-10232.098556427258</v>
      </c>
      <c r="H439" s="7">
        <f t="shared" si="356"/>
        <v>-1.8984008646074433</v>
      </c>
      <c r="I439" s="9">
        <v>1.7241600000000013E-2</v>
      </c>
      <c r="J439" s="2">
        <v>-1464.4681802545599</v>
      </c>
      <c r="K439" s="13">
        <v>13.300549450549401</v>
      </c>
      <c r="L439" s="9">
        <f t="shared" si="357"/>
        <v>4.5680142857142884E-2</v>
      </c>
      <c r="M439" s="2">
        <f t="shared" si="358"/>
        <v>5389.8513992423195</v>
      </c>
      <c r="N439" s="16">
        <f t="shared" si="369"/>
        <v>13.300549450549402</v>
      </c>
    </row>
    <row r="440" spans="1:14" ht="17">
      <c r="A440" s="1" t="s">
        <v>433</v>
      </c>
      <c r="B440" s="6">
        <f t="shared" ref="B440" si="414">C440/12.01%</f>
        <v>185870.37666559202</v>
      </c>
      <c r="C440" s="2">
        <v>22323.032237537602</v>
      </c>
      <c r="D440" s="9">
        <v>8.9694285714285699E-2</v>
      </c>
      <c r="E440" s="2">
        <f t="shared" si="367"/>
        <v>17344.977600175083</v>
      </c>
      <c r="F440" s="9">
        <v>2.2370399999999995E-2</v>
      </c>
      <c r="G440" s="2">
        <f t="shared" si="368"/>
        <v>-42744.403203900649</v>
      </c>
      <c r="H440" s="7">
        <f t="shared" si="356"/>
        <v>-2.4643677374059672</v>
      </c>
      <c r="I440" s="9">
        <v>2.2370399999999995E-2</v>
      </c>
      <c r="J440" s="2">
        <v>-1468.1627106983101</v>
      </c>
      <c r="K440" s="13">
        <v>13.3273076923077</v>
      </c>
      <c r="L440" s="9">
        <f t="shared" si="357"/>
        <v>5.8301285714285708E-2</v>
      </c>
      <c r="M440" s="2">
        <f t="shared" si="358"/>
        <v>17344.977600175083</v>
      </c>
      <c r="N440" s="16">
        <f t="shared" si="369"/>
        <v>13.3273076923077</v>
      </c>
    </row>
    <row r="441" spans="1:14" ht="17">
      <c r="A441" s="1" t="s">
        <v>434</v>
      </c>
      <c r="B441" s="6">
        <f t="shared" ref="B441" si="415">C441/10.26%</f>
        <v>259848.21629887138</v>
      </c>
      <c r="C441" s="2">
        <v>26660.426992264202</v>
      </c>
      <c r="D441" s="9">
        <v>7.7722539682539699E-2</v>
      </c>
      <c r="E441" s="2">
        <f t="shared" si="367"/>
        <v>17986.263719967188</v>
      </c>
      <c r="F441" s="9">
        <v>1.9634311111111118E-2</v>
      </c>
      <c r="G441" s="2">
        <f t="shared" si="368"/>
        <v>-38923.223297637895</v>
      </c>
      <c r="H441" s="7">
        <f t="shared" si="356"/>
        <v>-2.1640527406716408</v>
      </c>
      <c r="I441" s="9">
        <v>1.9634311111111118E-2</v>
      </c>
      <c r="J441" s="2">
        <v>-1471.8572411420701</v>
      </c>
      <c r="K441" s="13">
        <v>13.3540659340659</v>
      </c>
      <c r="L441" s="9">
        <f t="shared" si="357"/>
        <v>5.0519650793650804E-2</v>
      </c>
      <c r="M441" s="2">
        <f t="shared" si="358"/>
        <v>17986.263719967188</v>
      </c>
      <c r="N441" s="16">
        <f t="shared" si="369"/>
        <v>13.354065934065899</v>
      </c>
    </row>
    <row r="442" spans="1:14" ht="17">
      <c r="A442" s="1" t="s">
        <v>435</v>
      </c>
      <c r="B442" s="6">
        <f t="shared" ref="B442" si="416">C442/11.36%</f>
        <v>434129.03788698069</v>
      </c>
      <c r="C442" s="2">
        <v>49317.058703961004</v>
      </c>
      <c r="D442" s="9">
        <v>7.8639682539682607E-2</v>
      </c>
      <c r="E442" s="2">
        <f t="shared" si="367"/>
        <v>33731.460025674598</v>
      </c>
      <c r="F442" s="9">
        <v>2.3159911111111126E-2</v>
      </c>
      <c r="G442" s="2">
        <f t="shared" si="368"/>
        <v>-86147.685815446879</v>
      </c>
      <c r="H442" s="7">
        <f t="shared" ref="H442:H505" si="417">G442/E442</f>
        <v>-2.5539269794392485</v>
      </c>
      <c r="I442" s="9">
        <v>2.3159911111111126E-2</v>
      </c>
      <c r="J442" s="2">
        <v>-1475.55177158583</v>
      </c>
      <c r="K442" s="13">
        <v>13.3808241758242</v>
      </c>
      <c r="L442" s="9">
        <f t="shared" ref="L442:L505" si="418">D442*65%</f>
        <v>5.1115793650793696E-2</v>
      </c>
      <c r="M442" s="2">
        <f t="shared" ref="M442:M505" si="419">C442*L442*K442</f>
        <v>33731.460025674598</v>
      </c>
      <c r="N442" s="16">
        <f t="shared" si="369"/>
        <v>13.3808241758242</v>
      </c>
    </row>
    <row r="443" spans="1:14" ht="17">
      <c r="A443" s="1" t="s">
        <v>436</v>
      </c>
      <c r="B443" s="6">
        <f t="shared" ref="B443" si="420">C443/9.31%</f>
        <v>179273.86197848766</v>
      </c>
      <c r="C443" s="2">
        <v>16690.396550197202</v>
      </c>
      <c r="D443" s="9">
        <v>7.9556825396825404E-2</v>
      </c>
      <c r="E443" s="2">
        <f t="shared" si="367"/>
        <v>11571.986867193618</v>
      </c>
      <c r="F443" s="9">
        <v>2.5544711111111135E-2</v>
      </c>
      <c r="G443" s="2">
        <f t="shared" si="368"/>
        <v>-32613.615339409556</v>
      </c>
      <c r="H443" s="7">
        <f t="shared" si="417"/>
        <v>-2.8183246069755392</v>
      </c>
      <c r="I443" s="9">
        <v>2.5544711111111135E-2</v>
      </c>
      <c r="J443" s="2">
        <v>-1479.24630202958</v>
      </c>
      <c r="K443" s="13">
        <v>13.4075824175824</v>
      </c>
      <c r="L443" s="9">
        <f t="shared" si="418"/>
        <v>5.1711936507936512E-2</v>
      </c>
      <c r="M443" s="2">
        <f t="shared" si="419"/>
        <v>11571.986867193618</v>
      </c>
      <c r="N443" s="16">
        <f t="shared" si="369"/>
        <v>13.407582417582402</v>
      </c>
    </row>
    <row r="444" spans="1:14" ht="17">
      <c r="A444" s="1" t="s">
        <v>437</v>
      </c>
      <c r="B444" s="6">
        <f t="shared" ref="B444:B445" si="421">C444/12.1%</f>
        <v>312954.04128902394</v>
      </c>
      <c r="C444" s="2">
        <v>37867.438995971897</v>
      </c>
      <c r="D444" s="9">
        <v>8.0473968253968298E-2</v>
      </c>
      <c r="E444" s="2">
        <f t="shared" si="367"/>
        <v>26610.379309311811</v>
      </c>
      <c r="F444" s="9">
        <v>2.4065511111111122E-2</v>
      </c>
      <c r="G444" s="2">
        <f t="shared" si="368"/>
        <v>-70689.290350344658</v>
      </c>
      <c r="H444" s="7">
        <f t="shared" si="417"/>
        <v>-2.6564555705377804</v>
      </c>
      <c r="I444" s="9">
        <v>2.4065511111111122E-2</v>
      </c>
      <c r="J444" s="2">
        <v>-1482.9408324733399</v>
      </c>
      <c r="K444" s="13">
        <v>13.434340659340601</v>
      </c>
      <c r="L444" s="9">
        <f t="shared" si="418"/>
        <v>5.2308079365079398E-2</v>
      </c>
      <c r="M444" s="2">
        <f t="shared" si="419"/>
        <v>26610.379309311811</v>
      </c>
      <c r="N444" s="16">
        <f t="shared" si="369"/>
        <v>13.434340659340602</v>
      </c>
    </row>
    <row r="445" spans="1:14" ht="17">
      <c r="A445" s="1" t="s">
        <v>438</v>
      </c>
      <c r="B445" s="6">
        <f t="shared" si="421"/>
        <v>217639.92957955372</v>
      </c>
      <c r="C445" s="2">
        <v>26334.431479126</v>
      </c>
      <c r="D445" s="9">
        <v>8.1391111111111095E-2</v>
      </c>
      <c r="E445" s="2">
        <f t="shared" si="367"/>
        <v>18754.038190694126</v>
      </c>
      <c r="F445" s="9">
        <v>2.4154311111111135E-2</v>
      </c>
      <c r="G445" s="2">
        <f t="shared" si="368"/>
        <v>-50028.029353264763</v>
      </c>
      <c r="H445" s="7">
        <f t="shared" si="417"/>
        <v>-2.6675870468307457</v>
      </c>
      <c r="I445" s="9">
        <v>2.4154311111111135E-2</v>
      </c>
      <c r="J445" s="2">
        <v>-1486.6353629170901</v>
      </c>
      <c r="K445" s="13">
        <v>13.4610989010989</v>
      </c>
      <c r="L445" s="9">
        <f t="shared" si="418"/>
        <v>5.2904222222222214E-2</v>
      </c>
      <c r="M445" s="2">
        <f t="shared" si="419"/>
        <v>18754.038190694126</v>
      </c>
      <c r="N445" s="16">
        <f t="shared" si="369"/>
        <v>13.461098901098898</v>
      </c>
    </row>
    <row r="446" spans="1:14" ht="17">
      <c r="A446" s="1" t="s">
        <v>439</v>
      </c>
      <c r="B446" s="6">
        <f t="shared" ref="B446" si="422">C446/11.09%</f>
        <v>538625.05878488556</v>
      </c>
      <c r="C446" s="2">
        <v>59733.519019243802</v>
      </c>
      <c r="D446" s="9">
        <v>8.2308253968254003E-2</v>
      </c>
      <c r="E446" s="2">
        <f t="shared" si="367"/>
        <v>43104.022793795972</v>
      </c>
      <c r="F446" s="9">
        <v>1.4604800000000001E-2</v>
      </c>
      <c r="G446" s="2">
        <f t="shared" si="368"/>
        <v>-69558.926834469457</v>
      </c>
      <c r="H446" s="7">
        <f t="shared" si="417"/>
        <v>-1.6137455932415008</v>
      </c>
      <c r="I446" s="9">
        <v>1.4604800000000001E-2</v>
      </c>
      <c r="J446" s="2">
        <v>-1490.3298933608501</v>
      </c>
      <c r="K446" s="13">
        <v>13.4878571428571</v>
      </c>
      <c r="L446" s="9">
        <f t="shared" si="418"/>
        <v>5.3500365079365106E-2</v>
      </c>
      <c r="M446" s="2">
        <f t="shared" si="419"/>
        <v>43104.022793795972</v>
      </c>
      <c r="N446" s="16">
        <f t="shared" si="369"/>
        <v>13.4878571428571</v>
      </c>
    </row>
    <row r="447" spans="1:14" ht="17">
      <c r="A447" s="1" t="s">
        <v>440</v>
      </c>
      <c r="B447" s="6">
        <f t="shared" ref="B447" si="423">C447/12.01%</f>
        <v>246231.59602400832</v>
      </c>
      <c r="C447" s="2">
        <v>29572.414682483399</v>
      </c>
      <c r="D447" s="9">
        <v>8.32253968253968E-2</v>
      </c>
      <c r="E447" s="2">
        <f t="shared" si="367"/>
        <v>21620.200106727854</v>
      </c>
      <c r="F447" s="9">
        <v>1.4133600000000014E-2</v>
      </c>
      <c r="G447" s="2">
        <f t="shared" si="368"/>
        <v>-33780.534110778855</v>
      </c>
      <c r="H447" s="7">
        <f t="shared" si="417"/>
        <v>-1.5624524261580217</v>
      </c>
      <c r="I447" s="9">
        <v>1.4133600000000014E-2</v>
      </c>
      <c r="J447" s="2">
        <v>-1494.02442380461</v>
      </c>
      <c r="K447" s="13">
        <v>13.5146153846154</v>
      </c>
      <c r="L447" s="9">
        <f t="shared" si="418"/>
        <v>5.4096507936507922E-2</v>
      </c>
      <c r="M447" s="2">
        <f t="shared" si="419"/>
        <v>21620.200106727854</v>
      </c>
      <c r="N447" s="16">
        <f t="shared" si="369"/>
        <v>13.5146153846154</v>
      </c>
    </row>
    <row r="448" spans="1:14" ht="17">
      <c r="A448" s="1" t="s">
        <v>441</v>
      </c>
      <c r="B448" s="6">
        <f t="shared" ref="B448" si="424">C448/10.26%</f>
        <v>285843.75373569783</v>
      </c>
      <c r="C448" s="2">
        <v>29327.569133282599</v>
      </c>
      <c r="D448" s="9">
        <v>8.4142539682539694E-2</v>
      </c>
      <c r="E448" s="2">
        <f t="shared" si="367"/>
        <v>21720.397112672093</v>
      </c>
      <c r="F448" s="9">
        <v>2.1252E-2</v>
      </c>
      <c r="G448" s="2">
        <f t="shared" si="368"/>
        <v>-51054.634723705152</v>
      </c>
      <c r="H448" s="7">
        <f t="shared" si="417"/>
        <v>-2.3505387336550538</v>
      </c>
      <c r="I448" s="9">
        <v>2.1252E-2</v>
      </c>
      <c r="J448" s="2">
        <v>-1497.71895424836</v>
      </c>
      <c r="K448" s="13">
        <v>13.5413736263736</v>
      </c>
      <c r="L448" s="9">
        <f t="shared" si="418"/>
        <v>5.46926507936508E-2</v>
      </c>
      <c r="M448" s="2">
        <f t="shared" si="419"/>
        <v>21720.397112672093</v>
      </c>
      <c r="N448" s="16">
        <f t="shared" si="369"/>
        <v>13.5413736263736</v>
      </c>
    </row>
    <row r="449" spans="1:14" ht="17">
      <c r="A449" s="1" t="s">
        <v>442</v>
      </c>
      <c r="B449" s="6">
        <f t="shared" ref="B449" si="425">C449/11.36%</f>
        <v>368493.27522054495</v>
      </c>
      <c r="C449" s="2">
        <v>41860.836065053903</v>
      </c>
      <c r="D449" s="9">
        <v>8.5059682539682602E-2</v>
      </c>
      <c r="E449" s="2">
        <f t="shared" si="367"/>
        <v>31402.561006770749</v>
      </c>
      <c r="F449" s="9">
        <v>2.2008000000000003E-2</v>
      </c>
      <c r="G449" s="2">
        <f t="shared" si="368"/>
        <v>-76476.129801853443</v>
      </c>
      <c r="H449" s="7">
        <f t="shared" si="417"/>
        <v>-2.4353469064311128</v>
      </c>
      <c r="I449" s="9">
        <v>2.2008000000000003E-2</v>
      </c>
      <c r="J449" s="2">
        <v>-1501.4134846921199</v>
      </c>
      <c r="K449" s="13">
        <v>13.5681318681318</v>
      </c>
      <c r="L449" s="9">
        <f t="shared" si="418"/>
        <v>5.5288793650793693E-2</v>
      </c>
      <c r="M449" s="2">
        <f t="shared" si="419"/>
        <v>31402.561006770749</v>
      </c>
      <c r="N449" s="16">
        <f t="shared" si="369"/>
        <v>13.5681318681318</v>
      </c>
    </row>
    <row r="450" spans="1:14" ht="17">
      <c r="A450" s="1" t="s">
        <v>443</v>
      </c>
      <c r="B450" s="6">
        <f t="shared" ref="B450" si="426">C450/9.31%</f>
        <v>500849.38662785286</v>
      </c>
      <c r="C450" s="2">
        <v>46629.077895053102</v>
      </c>
      <c r="D450" s="9">
        <v>8.5976825396825399E-2</v>
      </c>
      <c r="E450" s="2">
        <f t="shared" si="367"/>
        <v>35426.421909340163</v>
      </c>
      <c r="F450" s="9">
        <v>2.1945511111111114E-2</v>
      </c>
      <c r="G450" s="2">
        <f t="shared" si="368"/>
        <v>-86072.607071158302</v>
      </c>
      <c r="H450" s="7">
        <f t="shared" si="417"/>
        <v>-2.4296161574382791</v>
      </c>
      <c r="I450" s="9">
        <v>2.1945511111111114E-2</v>
      </c>
      <c r="J450" s="2">
        <v>-1505.1080151358799</v>
      </c>
      <c r="K450" s="13">
        <v>13.5948901098901</v>
      </c>
      <c r="L450" s="9">
        <f t="shared" si="418"/>
        <v>5.5884936507936508E-2</v>
      </c>
      <c r="M450" s="2">
        <f t="shared" si="419"/>
        <v>35426.421909340163</v>
      </c>
      <c r="N450" s="16">
        <f t="shared" si="369"/>
        <v>13.594890109890098</v>
      </c>
    </row>
    <row r="451" spans="1:14" ht="17">
      <c r="A451" s="1" t="s">
        <v>444</v>
      </c>
      <c r="B451" s="6">
        <f t="shared" ref="B451:B452" si="427">C451/12.1%</f>
        <v>226685.80918024629</v>
      </c>
      <c r="C451" s="2">
        <v>27428.982910809798</v>
      </c>
      <c r="D451" s="9">
        <v>8.6893968253968307E-2</v>
      </c>
      <c r="E451" s="2">
        <f t="shared" ref="E451:E514" si="428">C451*L451*K451</f>
        <v>21102.910453550288</v>
      </c>
      <c r="F451" s="9">
        <v>2.1194311111111128E-2</v>
      </c>
      <c r="G451" s="2">
        <f t="shared" ref="G451:G514" si="429">C451*L451*F451*J451</f>
        <v>-49540.958472019556</v>
      </c>
      <c r="H451" s="7">
        <f t="shared" si="417"/>
        <v>-2.347588906329503</v>
      </c>
      <c r="I451" s="9">
        <v>2.1194311111111128E-2</v>
      </c>
      <c r="J451" s="2">
        <v>-1508.8025455796301</v>
      </c>
      <c r="K451" s="13">
        <v>13.6216483516483</v>
      </c>
      <c r="L451" s="9">
        <f t="shared" si="418"/>
        <v>5.6481079365079401E-2</v>
      </c>
      <c r="M451" s="2">
        <f t="shared" si="419"/>
        <v>21102.910453550288</v>
      </c>
      <c r="N451" s="16">
        <f t="shared" ref="N451:N514" si="430">J451*I451/H451</f>
        <v>13.621648351648298</v>
      </c>
    </row>
    <row r="452" spans="1:14" ht="17">
      <c r="A452" s="1" t="s">
        <v>445</v>
      </c>
      <c r="B452" s="6">
        <f t="shared" si="427"/>
        <v>311502.26451113389</v>
      </c>
      <c r="C452" s="2">
        <v>37691.774005847197</v>
      </c>
      <c r="D452" s="9">
        <v>8.7811111111111104E-2</v>
      </c>
      <c r="E452" s="2">
        <f t="shared" si="428"/>
        <v>29362.387073886293</v>
      </c>
      <c r="F452" s="9">
        <v>2.1535111111111137E-2</v>
      </c>
      <c r="G452" s="2">
        <f t="shared" si="429"/>
        <v>-70073.05762003272</v>
      </c>
      <c r="H452" s="7">
        <f t="shared" si="417"/>
        <v>-2.3864904935591165</v>
      </c>
      <c r="I452" s="9">
        <v>2.1535111111111137E-2</v>
      </c>
      <c r="J452" s="2">
        <v>-1512.49707602339</v>
      </c>
      <c r="K452" s="13">
        <v>13.6484065934066</v>
      </c>
      <c r="L452" s="9">
        <f t="shared" si="418"/>
        <v>5.7077222222222217E-2</v>
      </c>
      <c r="M452" s="2">
        <f t="shared" si="419"/>
        <v>29362.387073886293</v>
      </c>
      <c r="N452" s="16">
        <f t="shared" si="430"/>
        <v>13.648406593406598</v>
      </c>
    </row>
    <row r="453" spans="1:14" ht="17">
      <c r="A453" s="1" t="s">
        <v>446</v>
      </c>
      <c r="B453" s="6">
        <f t="shared" ref="B453" si="431">C453/11.09%</f>
        <v>63458.07710440451</v>
      </c>
      <c r="C453" s="2">
        <v>7037.5007508784602</v>
      </c>
      <c r="D453" s="9">
        <v>8.8728253968253998E-2</v>
      </c>
      <c r="E453" s="2">
        <f t="shared" si="428"/>
        <v>5550.4259896523126</v>
      </c>
      <c r="F453" s="9">
        <v>2.1875911111111122E-2</v>
      </c>
      <c r="G453" s="2">
        <f t="shared" si="429"/>
        <v>-13462.136330570605</v>
      </c>
      <c r="H453" s="7">
        <f t="shared" si="417"/>
        <v>-2.4254239864954754</v>
      </c>
      <c r="I453" s="9">
        <v>2.1875911111111122E-2</v>
      </c>
      <c r="J453" s="2">
        <v>-1516.19160646715</v>
      </c>
      <c r="K453" s="13">
        <v>13.6751648351648</v>
      </c>
      <c r="L453" s="9">
        <f t="shared" si="418"/>
        <v>5.7673365079365102E-2</v>
      </c>
      <c r="M453" s="2">
        <f t="shared" si="419"/>
        <v>5550.4259896523126</v>
      </c>
      <c r="N453" s="16">
        <f t="shared" si="430"/>
        <v>13.675164835164798</v>
      </c>
    </row>
    <row r="454" spans="1:14" ht="17">
      <c r="A454" s="1" t="s">
        <v>447</v>
      </c>
      <c r="B454" s="6">
        <f t="shared" ref="B454" si="432">C454/12.01%</f>
        <v>29104.231240716072</v>
      </c>
      <c r="C454" s="2">
        <v>3495.41817201</v>
      </c>
      <c r="D454" s="9">
        <v>8.9645396825396795E-2</v>
      </c>
      <c r="E454" s="2">
        <f t="shared" si="428"/>
        <v>2790.7569529266848</v>
      </c>
      <c r="F454" s="9">
        <v>2.4260711111111107E-2</v>
      </c>
      <c r="G454" s="2">
        <f t="shared" si="429"/>
        <v>-7510.2617001562276</v>
      </c>
      <c r="H454" s="7">
        <f t="shared" si="417"/>
        <v>-2.6911199458914425</v>
      </c>
      <c r="I454" s="9">
        <v>2.4260711111111107E-2</v>
      </c>
      <c r="J454" s="2">
        <v>-1519.8861369108999</v>
      </c>
      <c r="K454" s="13">
        <v>13.7019230769231</v>
      </c>
      <c r="L454" s="9">
        <f t="shared" si="418"/>
        <v>5.8269507936507918E-2</v>
      </c>
      <c r="M454" s="2">
        <f t="shared" si="419"/>
        <v>2790.7569529266848</v>
      </c>
      <c r="N454" s="16">
        <f t="shared" si="430"/>
        <v>13.701923076923102</v>
      </c>
    </row>
    <row r="455" spans="1:14" ht="17">
      <c r="A455" s="1" t="s">
        <v>448</v>
      </c>
      <c r="B455" s="6">
        <f t="shared" ref="B455" si="433">C455/10.26%</f>
        <v>257259.34360940059</v>
      </c>
      <c r="C455" s="2">
        <v>26394.808654324501</v>
      </c>
      <c r="D455" s="9">
        <v>9.0562539682539703E-2</v>
      </c>
      <c r="E455" s="2">
        <f t="shared" si="428"/>
        <v>21330.905499197284</v>
      </c>
      <c r="F455" s="9">
        <v>2.2781511111111118E-2</v>
      </c>
      <c r="G455" s="2">
        <f t="shared" si="429"/>
        <v>-53929.755176094084</v>
      </c>
      <c r="H455" s="7">
        <f t="shared" si="417"/>
        <v>-2.5282450001067018</v>
      </c>
      <c r="I455" s="9">
        <v>2.2781511111111118E-2</v>
      </c>
      <c r="J455" s="2">
        <v>-1523.5806673546599</v>
      </c>
      <c r="K455" s="13">
        <v>13.7286813186813</v>
      </c>
      <c r="L455" s="9">
        <f t="shared" si="418"/>
        <v>5.886565079365081E-2</v>
      </c>
      <c r="M455" s="2">
        <f t="shared" si="419"/>
        <v>21330.905499197284</v>
      </c>
      <c r="N455" s="16">
        <f t="shared" si="430"/>
        <v>13.7286813186813</v>
      </c>
    </row>
    <row r="456" spans="1:14" ht="17">
      <c r="A456" s="1" t="s">
        <v>449</v>
      </c>
      <c r="B456" s="6">
        <f t="shared" ref="B456" si="434">C456/11.36%</f>
        <v>237235.113767831</v>
      </c>
      <c r="C456" s="2">
        <v>26949.9089240256</v>
      </c>
      <c r="D456" s="9">
        <v>9.1479682539682597E-2</v>
      </c>
      <c r="E456" s="2">
        <f t="shared" si="428"/>
        <v>22042.953286828026</v>
      </c>
      <c r="F456" s="9">
        <v>2.2870311111111128E-2</v>
      </c>
      <c r="G456" s="2">
        <f t="shared" si="429"/>
        <v>-55973.785458825136</v>
      </c>
      <c r="H456" s="7">
        <f t="shared" si="417"/>
        <v>-2.539305179777013</v>
      </c>
      <c r="I456" s="9">
        <v>2.2870311111111128E-2</v>
      </c>
      <c r="J456" s="2">
        <v>-1527.2751977984201</v>
      </c>
      <c r="K456" s="13">
        <v>13.7554395604395</v>
      </c>
      <c r="L456" s="9">
        <f t="shared" si="418"/>
        <v>5.9461793650793689E-2</v>
      </c>
      <c r="M456" s="2">
        <f t="shared" si="419"/>
        <v>22042.953286828026</v>
      </c>
      <c r="N456" s="16">
        <f t="shared" si="430"/>
        <v>13.755439560439497</v>
      </c>
    </row>
    <row r="457" spans="1:14" ht="17">
      <c r="A457" s="1" t="s">
        <v>450</v>
      </c>
      <c r="B457" s="6">
        <f t="shared" ref="B457" si="435">C457/9.31%</f>
        <v>61324.327641336415</v>
      </c>
      <c r="C457" s="2">
        <v>5709.2949034084204</v>
      </c>
      <c r="D457" s="9">
        <v>9.2396825396825394E-2</v>
      </c>
      <c r="E457" s="2">
        <f t="shared" si="428"/>
        <v>4725.7567288515147</v>
      </c>
      <c r="F457" s="9">
        <v>2.3435111111111111E-2</v>
      </c>
      <c r="G457" s="2">
        <f t="shared" si="429"/>
        <v>-12302.305377519206</v>
      </c>
      <c r="H457" s="7">
        <f t="shared" si="417"/>
        <v>-2.6032455929040164</v>
      </c>
      <c r="I457" s="9">
        <v>2.3435111111111111E-2</v>
      </c>
      <c r="J457" s="2">
        <v>-1530.96972824217</v>
      </c>
      <c r="K457" s="13">
        <v>13.7821978021978</v>
      </c>
      <c r="L457" s="9">
        <f t="shared" si="418"/>
        <v>6.0057936507936505E-2</v>
      </c>
      <c r="M457" s="2">
        <f t="shared" si="419"/>
        <v>4725.7567288515147</v>
      </c>
      <c r="N457" s="16">
        <f t="shared" si="430"/>
        <v>13.782197802197798</v>
      </c>
    </row>
    <row r="458" spans="1:14" ht="17">
      <c r="A458" s="1" t="s">
        <v>451</v>
      </c>
      <c r="B458" s="6">
        <f t="shared" ref="B458:B459" si="436">C458/12.1%</f>
        <v>214267.3831248091</v>
      </c>
      <c r="C458" s="2">
        <v>25926.3533581019</v>
      </c>
      <c r="D458" s="9">
        <v>9.3313968253968302E-2</v>
      </c>
      <c r="E458" s="2">
        <f t="shared" si="428"/>
        <v>21715.123229616242</v>
      </c>
      <c r="F458" s="9">
        <v>2.3383911111111128E-2</v>
      </c>
      <c r="G458" s="2">
        <f t="shared" si="429"/>
        <v>-56432.84968323951</v>
      </c>
      <c r="H458" s="7">
        <f t="shared" si="417"/>
        <v>-2.5987810009879837</v>
      </c>
      <c r="I458" s="9">
        <v>2.3383911111111128E-2</v>
      </c>
      <c r="J458" s="2">
        <v>-1534.66425868593</v>
      </c>
      <c r="K458" s="13">
        <v>13.808956043956</v>
      </c>
      <c r="L458" s="9">
        <f t="shared" si="418"/>
        <v>6.0654079365079397E-2</v>
      </c>
      <c r="M458" s="2">
        <f t="shared" si="419"/>
        <v>21715.123229616242</v>
      </c>
      <c r="N458" s="16">
        <f t="shared" si="430"/>
        <v>13.808956043956</v>
      </c>
    </row>
    <row r="459" spans="1:14" ht="17">
      <c r="A459" s="1" t="s">
        <v>452</v>
      </c>
      <c r="B459" s="6">
        <f t="shared" si="436"/>
        <v>168810.84161727023</v>
      </c>
      <c r="C459" s="2">
        <v>20426.111835689699</v>
      </c>
      <c r="D459" s="9">
        <v>9.4231111111111196E-2</v>
      </c>
      <c r="E459" s="2">
        <f t="shared" si="428"/>
        <v>17309.915950945619</v>
      </c>
      <c r="F459" s="9">
        <v>2.4256711111111138E-2</v>
      </c>
      <c r="G459" s="2">
        <f t="shared" si="429"/>
        <v>-46685.598116414374</v>
      </c>
      <c r="H459" s="7">
        <f t="shared" si="417"/>
        <v>-2.6970436048745805</v>
      </c>
      <c r="I459" s="9">
        <v>2.4256711111111138E-2</v>
      </c>
      <c r="J459" s="2">
        <v>-1538.35878912969</v>
      </c>
      <c r="K459" s="13">
        <v>13.8357142857143</v>
      </c>
      <c r="L459" s="9">
        <f t="shared" si="418"/>
        <v>6.1250222222222282E-2</v>
      </c>
      <c r="M459" s="2">
        <f t="shared" si="419"/>
        <v>17309.915950945619</v>
      </c>
      <c r="N459" s="16">
        <f t="shared" si="430"/>
        <v>13.835714285714298</v>
      </c>
    </row>
    <row r="460" spans="1:14" ht="17">
      <c r="A460" s="1" t="s">
        <v>453</v>
      </c>
      <c r="B460" s="6">
        <f t="shared" ref="B460" si="437">C460/11.09%</f>
        <v>215025.76135290533</v>
      </c>
      <c r="C460" s="2">
        <v>23846.356934037201</v>
      </c>
      <c r="D460" s="9">
        <v>9.5148253968254007E-2</v>
      </c>
      <c r="E460" s="2">
        <f t="shared" si="428"/>
        <v>20444.519994498613</v>
      </c>
      <c r="F460" s="9">
        <v>2.3505511111111124E-2</v>
      </c>
      <c r="G460" s="2">
        <f t="shared" si="429"/>
        <v>-53457.089492803287</v>
      </c>
      <c r="H460" s="7">
        <f t="shared" si="417"/>
        <v>-2.6147392801194638</v>
      </c>
      <c r="I460" s="9">
        <v>2.3505511111111124E-2</v>
      </c>
      <c r="J460" s="2">
        <v>-1542.0533195734399</v>
      </c>
      <c r="K460" s="13">
        <v>13.8624725274725</v>
      </c>
      <c r="L460" s="9">
        <f t="shared" si="418"/>
        <v>6.1846365079365105E-2</v>
      </c>
      <c r="M460" s="2">
        <f t="shared" si="419"/>
        <v>20444.519994498613</v>
      </c>
      <c r="N460" s="16">
        <f t="shared" si="430"/>
        <v>13.862472527472498</v>
      </c>
    </row>
    <row r="461" spans="1:14" ht="17">
      <c r="A461" s="1" t="s">
        <v>454</v>
      </c>
      <c r="B461" s="6">
        <f t="shared" ref="B461" si="438">C461/12.01%</f>
        <v>9179.6649284708583</v>
      </c>
      <c r="C461" s="2">
        <v>1102.47775790935</v>
      </c>
      <c r="D461" s="9">
        <v>9.6065396825396901E-2</v>
      </c>
      <c r="E461" s="2">
        <f t="shared" si="428"/>
        <v>956.15514871515472</v>
      </c>
      <c r="F461" s="9">
        <v>2.3159911111111126E-2</v>
      </c>
      <c r="G461" s="2">
        <f t="shared" si="429"/>
        <v>-2464.4823575957475</v>
      </c>
      <c r="H461" s="7">
        <f t="shared" si="417"/>
        <v>-2.5774921161146556</v>
      </c>
      <c r="I461" s="9">
        <v>2.3159911111111126E-2</v>
      </c>
      <c r="J461" s="2">
        <v>-1545.7478500172001</v>
      </c>
      <c r="K461" s="13">
        <v>13.889230769230799</v>
      </c>
      <c r="L461" s="9">
        <f t="shared" si="418"/>
        <v>6.244250793650799E-2</v>
      </c>
      <c r="M461" s="2">
        <f t="shared" si="419"/>
        <v>956.15514871515472</v>
      </c>
      <c r="N461" s="16">
        <f t="shared" si="430"/>
        <v>13.889230769230801</v>
      </c>
    </row>
    <row r="462" spans="1:14" ht="17">
      <c r="A462" s="1" t="s">
        <v>455</v>
      </c>
      <c r="B462" s="6">
        <f t="shared" ref="B462" si="439">C462/10.26%</f>
        <v>47972.967020793083</v>
      </c>
      <c r="C462" s="2">
        <v>4922.0264163333704</v>
      </c>
      <c r="D462" s="9">
        <v>6.8777142857142898E-2</v>
      </c>
      <c r="E462" s="2">
        <f t="shared" si="428"/>
        <v>3062.0727481191243</v>
      </c>
      <c r="F462" s="9">
        <v>2.5544711111111135E-2</v>
      </c>
      <c r="G462" s="2">
        <f t="shared" si="429"/>
        <v>-8709.1917686300276</v>
      </c>
      <c r="H462" s="7">
        <f t="shared" si="417"/>
        <v>-2.844214519063808</v>
      </c>
      <c r="I462" s="9">
        <v>2.5544711111111135E-2</v>
      </c>
      <c r="J462" s="2">
        <v>-1549.4423804609501</v>
      </c>
      <c r="K462" s="13">
        <v>13.915989010989</v>
      </c>
      <c r="L462" s="9">
        <f t="shared" si="418"/>
        <v>4.4705142857142888E-2</v>
      </c>
      <c r="M462" s="2">
        <f t="shared" si="419"/>
        <v>3062.0727481191243</v>
      </c>
      <c r="N462" s="16">
        <f t="shared" si="430"/>
        <v>13.915989010989001</v>
      </c>
    </row>
    <row r="463" spans="1:14" ht="17">
      <c r="A463" s="1" t="s">
        <v>456</v>
      </c>
      <c r="B463" s="6">
        <f t="shared" ref="B463" si="440">C463/11.36%</f>
        <v>33268.884522996479</v>
      </c>
      <c r="C463" s="2">
        <v>3779.3452818124001</v>
      </c>
      <c r="D463" s="9">
        <v>6.9602857142857105E-2</v>
      </c>
      <c r="E463" s="2">
        <f t="shared" si="428"/>
        <v>2383.9950526162775</v>
      </c>
      <c r="F463" s="9">
        <v>2.4065511111111122E-2</v>
      </c>
      <c r="G463" s="2">
        <f t="shared" si="429"/>
        <v>-6390.8971120466922</v>
      </c>
      <c r="H463" s="7">
        <f t="shared" si="417"/>
        <v>-2.6807509961201905</v>
      </c>
      <c r="I463" s="9">
        <v>2.4065511111111122E-2</v>
      </c>
      <c r="J463" s="2">
        <v>-1553.13691090471</v>
      </c>
      <c r="K463" s="13">
        <v>13.9427472527472</v>
      </c>
      <c r="L463" s="9">
        <f t="shared" si="418"/>
        <v>4.5241857142857118E-2</v>
      </c>
      <c r="M463" s="2">
        <f t="shared" si="419"/>
        <v>2383.9950526162775</v>
      </c>
      <c r="N463" s="16">
        <f t="shared" si="430"/>
        <v>13.9427472527472</v>
      </c>
    </row>
    <row r="464" spans="1:14" ht="17">
      <c r="A464" s="1" t="s">
        <v>457</v>
      </c>
      <c r="B464" s="6">
        <f t="shared" ref="B464" si="441">C464/9.31%</f>
        <v>37224.388098517833</v>
      </c>
      <c r="C464" s="2">
        <v>3465.59053197201</v>
      </c>
      <c r="D464" s="9">
        <v>7.0428571428571396E-2</v>
      </c>
      <c r="E464" s="2">
        <f t="shared" si="428"/>
        <v>2216.2590252398127</v>
      </c>
      <c r="F464" s="9">
        <v>2.4154311111111135E-2</v>
      </c>
      <c r="G464" s="2">
        <f t="shared" si="429"/>
        <v>-5965.8967658687734</v>
      </c>
      <c r="H464" s="7">
        <f t="shared" si="417"/>
        <v>-2.6918770314869795</v>
      </c>
      <c r="I464" s="9">
        <v>2.4154311111111135E-2</v>
      </c>
      <c r="J464" s="2">
        <v>-1556.83144134847</v>
      </c>
      <c r="K464" s="13">
        <v>13.969505494505499</v>
      </c>
      <c r="L464" s="9">
        <f t="shared" si="418"/>
        <v>4.5778571428571412E-2</v>
      </c>
      <c r="M464" s="2">
        <f t="shared" si="419"/>
        <v>2216.2590252398127</v>
      </c>
      <c r="N464" s="16">
        <f t="shared" si="430"/>
        <v>13.969505494505498</v>
      </c>
    </row>
    <row r="465" spans="1:14" ht="17">
      <c r="A465" s="1" t="s">
        <v>458</v>
      </c>
      <c r="B465" s="6">
        <f t="shared" ref="B465:B466" si="442">C465/12.1%</f>
        <v>50508.561870613557</v>
      </c>
      <c r="C465" s="2">
        <v>6111.53598634424</v>
      </c>
      <c r="D465" s="9">
        <v>7.9556825396825404E-2</v>
      </c>
      <c r="E465" s="2">
        <f t="shared" si="428"/>
        <v>4423.3702460818913</v>
      </c>
      <c r="F465" s="9">
        <v>1.4604800000000001E-2</v>
      </c>
      <c r="G465" s="2">
        <f t="shared" si="429"/>
        <v>-7202.9067100197199</v>
      </c>
      <c r="H465" s="7">
        <f t="shared" si="417"/>
        <v>-1.6283752680210009</v>
      </c>
      <c r="I465" s="9">
        <v>1.4604800000000001E-2</v>
      </c>
      <c r="J465" s="2">
        <v>-1560.5259717922199</v>
      </c>
      <c r="K465" s="13">
        <v>13.9962637362637</v>
      </c>
      <c r="L465" s="9">
        <f t="shared" si="418"/>
        <v>5.1711936507936512E-2</v>
      </c>
      <c r="M465" s="2">
        <f t="shared" si="419"/>
        <v>4423.3702460818913</v>
      </c>
      <c r="N465" s="16">
        <f t="shared" si="430"/>
        <v>13.996263736263698</v>
      </c>
    </row>
    <row r="466" spans="1:14" ht="17">
      <c r="A466" s="1" t="s">
        <v>459</v>
      </c>
      <c r="B466" s="6">
        <f t="shared" si="442"/>
        <v>228804.85535729339</v>
      </c>
      <c r="C466" s="2">
        <v>27685.3874982325</v>
      </c>
      <c r="D466" s="9">
        <v>8.0473968253968298E-2</v>
      </c>
      <c r="E466" s="2">
        <f t="shared" si="428"/>
        <v>20307.711976317012</v>
      </c>
      <c r="F466" s="9">
        <v>1.4133600000000014E-2</v>
      </c>
      <c r="G466" s="2">
        <f t="shared" si="429"/>
        <v>-32016.226992091746</v>
      </c>
      <c r="H466" s="7">
        <f t="shared" si="417"/>
        <v>-1.5765551052442186</v>
      </c>
      <c r="I466" s="9">
        <v>1.4133600000000014E-2</v>
      </c>
      <c r="J466" s="2">
        <v>-1564.2205022359799</v>
      </c>
      <c r="K466" s="13">
        <v>14.023021978021999</v>
      </c>
      <c r="L466" s="9">
        <f t="shared" si="418"/>
        <v>5.2308079365079398E-2</v>
      </c>
      <c r="M466" s="2">
        <f t="shared" si="419"/>
        <v>20307.711976317012</v>
      </c>
      <c r="N466" s="16">
        <f t="shared" si="430"/>
        <v>14.023021978022001</v>
      </c>
    </row>
    <row r="467" spans="1:14" ht="17">
      <c r="A467" s="1" t="s">
        <v>460</v>
      </c>
      <c r="B467" s="6">
        <f t="shared" ref="B467" si="443">C467/11.09%</f>
        <v>57676.538996661133</v>
      </c>
      <c r="C467" s="2">
        <v>6396.3281747297196</v>
      </c>
      <c r="D467" s="9">
        <v>8.1391111111111095E-2</v>
      </c>
      <c r="E467" s="2">
        <f t="shared" si="428"/>
        <v>4754.344006591632</v>
      </c>
      <c r="F467" s="9">
        <v>2.1252E-2</v>
      </c>
      <c r="G467" s="2">
        <f t="shared" si="429"/>
        <v>-11275.69715711571</v>
      </c>
      <c r="H467" s="7">
        <f t="shared" si="417"/>
        <v>-2.3716620298158038</v>
      </c>
      <c r="I467" s="9">
        <v>2.1252E-2</v>
      </c>
      <c r="J467" s="2">
        <v>-1567.9150326797401</v>
      </c>
      <c r="K467" s="13">
        <v>14.0497802197802</v>
      </c>
      <c r="L467" s="9">
        <f t="shared" si="418"/>
        <v>5.2904222222222214E-2</v>
      </c>
      <c r="M467" s="2">
        <f t="shared" si="419"/>
        <v>4754.344006591632</v>
      </c>
      <c r="N467" s="16">
        <f t="shared" si="430"/>
        <v>14.049780219780198</v>
      </c>
    </row>
    <row r="468" spans="1:14" ht="17">
      <c r="A468" s="1" t="s">
        <v>461</v>
      </c>
      <c r="B468" s="6">
        <f t="shared" ref="B468" si="444">C468/12.01%</f>
        <v>34205.962918375524</v>
      </c>
      <c r="C468" s="2">
        <v>4108.1361464969004</v>
      </c>
      <c r="D468" s="9">
        <v>8.2308253968254003E-2</v>
      </c>
      <c r="E468" s="2">
        <f t="shared" si="428"/>
        <v>3093.8371131522517</v>
      </c>
      <c r="F468" s="9">
        <v>2.2008000000000003E-2</v>
      </c>
      <c r="G468" s="2">
        <f t="shared" si="429"/>
        <v>-7601.9815942262012</v>
      </c>
      <c r="H468" s="7">
        <f t="shared" si="417"/>
        <v>-2.4571369843322768</v>
      </c>
      <c r="I468" s="9">
        <v>2.2008000000000003E-2</v>
      </c>
      <c r="J468" s="2">
        <v>-1571.60956312349</v>
      </c>
      <c r="K468" s="13">
        <v>14.0765384615384</v>
      </c>
      <c r="L468" s="9">
        <f t="shared" si="418"/>
        <v>5.3500365079365106E-2</v>
      </c>
      <c r="M468" s="2">
        <f t="shared" si="419"/>
        <v>3093.8371131522517</v>
      </c>
      <c r="N468" s="16">
        <f t="shared" si="430"/>
        <v>14.076538461538401</v>
      </c>
    </row>
    <row r="469" spans="1:14" ht="17">
      <c r="A469" s="1" t="s">
        <v>462</v>
      </c>
      <c r="B469" s="6">
        <f t="shared" ref="B469" si="445">C469/10.26%</f>
        <v>12113.230357889572</v>
      </c>
      <c r="C469" s="2">
        <v>1242.8174347194699</v>
      </c>
      <c r="D469" s="9">
        <v>8.32253968253968E-2</v>
      </c>
      <c r="E469" s="2">
        <f t="shared" si="428"/>
        <v>948.19401764554277</v>
      </c>
      <c r="F469" s="9">
        <v>2.0167111111111104E-2</v>
      </c>
      <c r="G469" s="2">
        <f t="shared" si="429"/>
        <v>-2135.9184192041203</v>
      </c>
      <c r="H469" s="7">
        <f t="shared" si="417"/>
        <v>-2.2526174806584542</v>
      </c>
      <c r="I469" s="9">
        <v>2.0167111111111104E-2</v>
      </c>
      <c r="J469" s="2">
        <v>-1575.30409356725</v>
      </c>
      <c r="K469" s="13">
        <v>14.103296703296699</v>
      </c>
      <c r="L469" s="9">
        <f t="shared" si="418"/>
        <v>5.4096507936507922E-2</v>
      </c>
      <c r="M469" s="2">
        <f t="shared" si="419"/>
        <v>948.19401764554277</v>
      </c>
      <c r="N469" s="16">
        <f t="shared" si="430"/>
        <v>14.103296703296699</v>
      </c>
    </row>
    <row r="470" spans="1:14" ht="17">
      <c r="A470" s="1" t="s">
        <v>463</v>
      </c>
      <c r="B470" s="6">
        <f t="shared" ref="B470" si="446">C470/11.36%</f>
        <v>33714.378478568666</v>
      </c>
      <c r="C470" s="2">
        <v>3829.9533951653998</v>
      </c>
      <c r="D470" s="9">
        <v>8.4142539682539694E-2</v>
      </c>
      <c r="E470" s="2">
        <f t="shared" si="428"/>
        <v>2959.8268991933755</v>
      </c>
      <c r="F470" s="9">
        <v>2.0507911111111117E-2</v>
      </c>
      <c r="G470" s="2">
        <f t="shared" si="429"/>
        <v>-6783.0597098899543</v>
      </c>
      <c r="H470" s="7">
        <f t="shared" si="417"/>
        <v>-2.2917082454174946</v>
      </c>
      <c r="I470" s="9">
        <v>2.0507911111111117E-2</v>
      </c>
      <c r="J470" s="2">
        <v>-1578.99862401101</v>
      </c>
      <c r="K470" s="13">
        <v>14.1300549450549</v>
      </c>
      <c r="L470" s="9">
        <f t="shared" si="418"/>
        <v>5.46926507936508E-2</v>
      </c>
      <c r="M470" s="2">
        <f t="shared" si="419"/>
        <v>2959.8268991933755</v>
      </c>
      <c r="N470" s="16">
        <f t="shared" si="430"/>
        <v>14.130054945054898</v>
      </c>
    </row>
    <row r="471" spans="1:14" ht="17">
      <c r="A471" s="1" t="s">
        <v>464</v>
      </c>
      <c r="B471" s="6">
        <f t="shared" ref="B471" si="447">C471/9.31%</f>
        <v>72659.073865439743</v>
      </c>
      <c r="C471" s="2">
        <v>6764.5597768724401</v>
      </c>
      <c r="D471" s="9">
        <v>8.5059682539682602E-2</v>
      </c>
      <c r="E471" s="2">
        <f t="shared" si="428"/>
        <v>5294.7097089367853</v>
      </c>
      <c r="F471" s="9">
        <v>2.084871111111113E-2</v>
      </c>
      <c r="G471" s="2">
        <f t="shared" si="429"/>
        <v>-12341.063546304855</v>
      </c>
      <c r="H471" s="7">
        <f t="shared" si="417"/>
        <v>-2.3308291152345397</v>
      </c>
      <c r="I471" s="9">
        <v>2.084871111111113E-2</v>
      </c>
      <c r="J471" s="2">
        <v>-1582.6931544547599</v>
      </c>
      <c r="K471" s="13">
        <v>14.156813186813199</v>
      </c>
      <c r="L471" s="9">
        <f t="shared" si="418"/>
        <v>5.5288793650793693E-2</v>
      </c>
      <c r="M471" s="2">
        <f t="shared" si="419"/>
        <v>5294.7097089367853</v>
      </c>
      <c r="N471" s="16">
        <f t="shared" si="430"/>
        <v>14.156813186813199</v>
      </c>
    </row>
    <row r="472" spans="1:14" ht="17">
      <c r="A472" s="1" t="s">
        <v>465</v>
      </c>
      <c r="B472" s="6">
        <f t="shared" ref="B472:B473" si="448">C472/12.1%</f>
        <v>233309.02127117108</v>
      </c>
      <c r="C472" s="2">
        <v>28230.391573811699</v>
      </c>
      <c r="D472" s="9">
        <v>8.5976825396825399E-2</v>
      </c>
      <c r="E472" s="2">
        <f t="shared" si="428"/>
        <v>22376.763102366691</v>
      </c>
      <c r="F472" s="9">
        <v>2.3233511111111112E-2</v>
      </c>
      <c r="G472" s="2">
        <f t="shared" si="429"/>
        <v>-58148.141727797723</v>
      </c>
      <c r="H472" s="7">
        <f t="shared" si="417"/>
        <v>-2.5985948665492038</v>
      </c>
      <c r="I472" s="9">
        <v>2.3233511111111112E-2</v>
      </c>
      <c r="J472" s="2">
        <v>-1586.3876848985201</v>
      </c>
      <c r="K472" s="13">
        <v>14.183571428571399</v>
      </c>
      <c r="L472" s="9">
        <f t="shared" si="418"/>
        <v>5.5884936507936508E-2</v>
      </c>
      <c r="M472" s="2">
        <f t="shared" si="419"/>
        <v>22376.763102366691</v>
      </c>
      <c r="N472" s="16">
        <f t="shared" si="430"/>
        <v>14.183571428571401</v>
      </c>
    </row>
    <row r="473" spans="1:14" ht="17">
      <c r="A473" s="1" t="s">
        <v>466</v>
      </c>
      <c r="B473" s="6">
        <f t="shared" si="448"/>
        <v>84083.359654436368</v>
      </c>
      <c r="C473" s="2">
        <v>10174.086518186799</v>
      </c>
      <c r="D473" s="9">
        <v>8.6893968253968307E-2</v>
      </c>
      <c r="E473" s="2">
        <f t="shared" si="428"/>
        <v>8165.8719877889043</v>
      </c>
      <c r="F473" s="9">
        <v>2.1754311111111129E-2</v>
      </c>
      <c r="G473" s="2">
        <f t="shared" si="429"/>
        <v>-19877.57172948989</v>
      </c>
      <c r="H473" s="7">
        <f t="shared" si="417"/>
        <v>-2.4342252436989518</v>
      </c>
      <c r="I473" s="9">
        <v>2.1754311111111129E-2</v>
      </c>
      <c r="J473" s="2">
        <v>-1590.0822153422801</v>
      </c>
      <c r="K473" s="13">
        <v>14.210329670329701</v>
      </c>
      <c r="L473" s="9">
        <f t="shared" si="418"/>
        <v>5.6481079365079401E-2</v>
      </c>
      <c r="M473" s="2">
        <f t="shared" si="419"/>
        <v>8165.8719877889043</v>
      </c>
      <c r="N473" s="16">
        <f t="shared" si="430"/>
        <v>14.210329670329703</v>
      </c>
    </row>
    <row r="474" spans="1:14" ht="17">
      <c r="A474" s="1" t="s">
        <v>467</v>
      </c>
      <c r="B474" s="6">
        <f t="shared" ref="B474" si="449">C474/11.09%</f>
        <v>18876.519074794593</v>
      </c>
      <c r="C474" s="2">
        <v>2093.4059653947202</v>
      </c>
      <c r="D474" s="9">
        <v>8.7811111111111104E-2</v>
      </c>
      <c r="E474" s="2">
        <f t="shared" si="428"/>
        <v>1701.1298030848664</v>
      </c>
      <c r="F474" s="9">
        <v>2.1843111111111112E-2</v>
      </c>
      <c r="G474" s="2">
        <f t="shared" si="429"/>
        <v>-4159.6641514199437</v>
      </c>
      <c r="H474" s="7">
        <f t="shared" si="417"/>
        <v>-2.4452361859022851</v>
      </c>
      <c r="I474" s="9">
        <v>2.1843111111111112E-2</v>
      </c>
      <c r="J474" s="2">
        <v>-1593.77674578603</v>
      </c>
      <c r="K474" s="13">
        <v>14.237087912087899</v>
      </c>
      <c r="L474" s="9">
        <f t="shared" si="418"/>
        <v>5.7077222222222217E-2</v>
      </c>
      <c r="M474" s="2">
        <f t="shared" si="419"/>
        <v>1701.1298030848664</v>
      </c>
      <c r="N474" s="16">
        <f t="shared" si="430"/>
        <v>14.237087912087899</v>
      </c>
    </row>
    <row r="475" spans="1:14" ht="17">
      <c r="A475" s="1" t="s">
        <v>468</v>
      </c>
      <c r="B475" s="6">
        <f t="shared" ref="B475" si="450">C475/12.01%</f>
        <v>145003.43719527812</v>
      </c>
      <c r="C475" s="2">
        <v>17414.912807152901</v>
      </c>
      <c r="D475" s="9">
        <v>8.8728253968253998E-2</v>
      </c>
      <c r="E475" s="2">
        <f t="shared" si="428"/>
        <v>14326.27364742686</v>
      </c>
      <c r="F475" s="9">
        <v>2.2407911111111123E-2</v>
      </c>
      <c r="G475" s="2">
        <f t="shared" si="429"/>
        <v>-35952.659973781163</v>
      </c>
      <c r="H475" s="7">
        <f t="shared" si="417"/>
        <v>-2.5095611642346798</v>
      </c>
      <c r="I475" s="9">
        <v>2.2407911111111123E-2</v>
      </c>
      <c r="J475" s="2">
        <v>-1597.47127622979</v>
      </c>
      <c r="K475" s="13">
        <v>14.263846153846099</v>
      </c>
      <c r="L475" s="9">
        <f t="shared" si="418"/>
        <v>5.7673365079365102E-2</v>
      </c>
      <c r="M475" s="2">
        <f t="shared" si="419"/>
        <v>14326.27364742686</v>
      </c>
      <c r="N475" s="16">
        <f t="shared" si="430"/>
        <v>14.263846153846098</v>
      </c>
    </row>
    <row r="476" spans="1:14" ht="17">
      <c r="A476" s="1" t="s">
        <v>469</v>
      </c>
      <c r="B476" s="6">
        <f t="shared" ref="B476" si="451">C476/10.26%</f>
        <v>93528.074904179535</v>
      </c>
      <c r="C476" s="2">
        <v>9595.9804851688205</v>
      </c>
      <c r="D476" s="9">
        <v>6.8777142857142898E-2</v>
      </c>
      <c r="E476" s="2">
        <f t="shared" si="428"/>
        <v>6130.5217844382787</v>
      </c>
      <c r="F476" s="9">
        <v>1.8417600000000013E-2</v>
      </c>
      <c r="G476" s="2">
        <f t="shared" si="429"/>
        <v>-12650.747474978371</v>
      </c>
      <c r="H476" s="7">
        <f t="shared" si="417"/>
        <v>-2.0635678201309124</v>
      </c>
      <c r="I476" s="9">
        <v>1.8417600000000013E-2</v>
      </c>
      <c r="J476" s="2">
        <v>-1601.1658066735399</v>
      </c>
      <c r="K476" s="13">
        <v>14.290604395604401</v>
      </c>
      <c r="L476" s="9">
        <f t="shared" si="418"/>
        <v>4.4705142857142888E-2</v>
      </c>
      <c r="M476" s="2">
        <f t="shared" si="419"/>
        <v>6130.5217844382787</v>
      </c>
      <c r="N476" s="16">
        <f t="shared" si="430"/>
        <v>14.290604395604401</v>
      </c>
    </row>
    <row r="477" spans="1:14" ht="17">
      <c r="A477" s="1" t="s">
        <v>470</v>
      </c>
      <c r="B477" s="6">
        <f t="shared" ref="B477" si="452">C477/11.36%</f>
        <v>81868.90060147905</v>
      </c>
      <c r="C477" s="2">
        <v>9300.3071083280192</v>
      </c>
      <c r="D477" s="9">
        <v>6.9602857142857105E-2</v>
      </c>
      <c r="E477" s="2">
        <f t="shared" si="428"/>
        <v>6024.2188260488492</v>
      </c>
      <c r="F477" s="9">
        <v>1.6912799999999988E-2</v>
      </c>
      <c r="G477" s="2">
        <f t="shared" si="429"/>
        <v>-11420.640762604398</v>
      </c>
      <c r="H477" s="7">
        <f t="shared" si="417"/>
        <v>-1.8957878344693102</v>
      </c>
      <c r="I477" s="9">
        <v>1.6912799999999988E-2</v>
      </c>
      <c r="J477" s="2">
        <v>-1604.8603371173001</v>
      </c>
      <c r="K477" s="13">
        <v>14.317362637362599</v>
      </c>
      <c r="L477" s="9">
        <f t="shared" si="418"/>
        <v>4.5241857142857118E-2</v>
      </c>
      <c r="M477" s="2">
        <f t="shared" si="419"/>
        <v>6024.2188260488492</v>
      </c>
      <c r="N477" s="16">
        <f t="shared" si="430"/>
        <v>14.317362637362599</v>
      </c>
    </row>
    <row r="478" spans="1:14" ht="17">
      <c r="A478" s="1" t="s">
        <v>471</v>
      </c>
      <c r="B478" s="6">
        <f t="shared" ref="B478" si="453">C478/9.31%</f>
        <v>63728.370718434911</v>
      </c>
      <c r="C478" s="2">
        <v>5933.1113138862902</v>
      </c>
      <c r="D478" s="9">
        <v>7.0428571428571396E-2</v>
      </c>
      <c r="E478" s="2">
        <f t="shared" si="428"/>
        <v>3895.9974928366814</v>
      </c>
      <c r="F478" s="9">
        <v>1.6975999999999995E-2</v>
      </c>
      <c r="G478" s="2">
        <f t="shared" si="429"/>
        <v>-7416.7899244454557</v>
      </c>
      <c r="H478" s="7">
        <f t="shared" si="417"/>
        <v>-1.9036947375048952</v>
      </c>
      <c r="I478" s="9">
        <v>1.6975999999999995E-2</v>
      </c>
      <c r="J478" s="2">
        <v>-1608.5548675610601</v>
      </c>
      <c r="K478" s="13">
        <v>14.344120879120901</v>
      </c>
      <c r="L478" s="9">
        <f t="shared" si="418"/>
        <v>4.5778571428571412E-2</v>
      </c>
      <c r="M478" s="2">
        <f t="shared" si="419"/>
        <v>3895.9974928366814</v>
      </c>
      <c r="N478" s="16">
        <f t="shared" si="430"/>
        <v>14.344120879120899</v>
      </c>
    </row>
    <row r="479" spans="1:14" ht="17">
      <c r="A479" s="1" t="s">
        <v>472</v>
      </c>
      <c r="B479" s="6">
        <f t="shared" ref="B479:B480" si="454">C479/12.1%</f>
        <v>599996.4059328587</v>
      </c>
      <c r="C479" s="2">
        <v>72599.5651178759</v>
      </c>
      <c r="D479" s="9">
        <v>8.0473968253968298E-2</v>
      </c>
      <c r="E479" s="2">
        <f t="shared" si="428"/>
        <v>54574.043108042417</v>
      </c>
      <c r="F479" s="9">
        <v>2.0096711111111127E-2</v>
      </c>
      <c r="G479" s="2">
        <f t="shared" si="429"/>
        <v>-123043.8768242376</v>
      </c>
      <c r="H479" s="7">
        <f t="shared" si="417"/>
        <v>-2.2546227073673597</v>
      </c>
      <c r="I479" s="9">
        <v>2.0096711111111127E-2</v>
      </c>
      <c r="J479" s="2">
        <v>-1612.24939800481</v>
      </c>
      <c r="K479" s="13">
        <v>14.370879120879099</v>
      </c>
      <c r="L479" s="9">
        <f t="shared" si="418"/>
        <v>5.2308079365079398E-2</v>
      </c>
      <c r="M479" s="2">
        <f t="shared" si="419"/>
        <v>54574.043108042417</v>
      </c>
      <c r="N479" s="16">
        <f t="shared" si="430"/>
        <v>14.370879120879096</v>
      </c>
    </row>
    <row r="480" spans="1:14" ht="17">
      <c r="A480" s="1" t="s">
        <v>473</v>
      </c>
      <c r="B480" s="6">
        <f t="shared" si="454"/>
        <v>475780.73697414133</v>
      </c>
      <c r="C480" s="2">
        <v>57569.469173871097</v>
      </c>
      <c r="D480" s="9">
        <v>8.1391111111111095E-2</v>
      </c>
      <c r="E480" s="2">
        <f t="shared" si="428"/>
        <v>43850.423252625333</v>
      </c>
      <c r="F480" s="9">
        <v>2.0045511111111112E-2</v>
      </c>
      <c r="G480" s="2">
        <f t="shared" si="429"/>
        <v>-98656.562733295854</v>
      </c>
      <c r="H480" s="7">
        <f t="shared" si="417"/>
        <v>-2.2498428844102265</v>
      </c>
      <c r="I480" s="9">
        <v>2.0045511111111112E-2</v>
      </c>
      <c r="J480" s="2">
        <v>-1615.94392844857</v>
      </c>
      <c r="K480" s="13">
        <v>14.397637362637299</v>
      </c>
      <c r="L480" s="9">
        <f t="shared" si="418"/>
        <v>5.2904222222222214E-2</v>
      </c>
      <c r="M480" s="2">
        <f t="shared" si="419"/>
        <v>43850.423252625333</v>
      </c>
      <c r="N480" s="16">
        <f t="shared" si="430"/>
        <v>14.397637362637301</v>
      </c>
    </row>
    <row r="481" spans="1:14" ht="17">
      <c r="A481" s="1" t="s">
        <v>474</v>
      </c>
      <c r="B481" s="6">
        <f t="shared" ref="B481" si="455">C481/11.09%</f>
        <v>115580.78443734716</v>
      </c>
      <c r="C481" s="2">
        <v>12817.908994101799</v>
      </c>
      <c r="D481" s="9">
        <v>8.2308253968254003E-2</v>
      </c>
      <c r="E481" s="2">
        <f t="shared" si="428"/>
        <v>9891.7140728747363</v>
      </c>
      <c r="F481" s="9">
        <v>2.0918311111111119E-2</v>
      </c>
      <c r="G481" s="2">
        <f t="shared" si="429"/>
        <v>-23233.713406876996</v>
      </c>
      <c r="H481" s="7">
        <f t="shared" si="417"/>
        <v>-2.3488055998898076</v>
      </c>
      <c r="I481" s="9">
        <v>2.0918311111111119E-2</v>
      </c>
      <c r="J481" s="2">
        <v>-1619.6384588923299</v>
      </c>
      <c r="K481" s="13">
        <v>14.424395604395601</v>
      </c>
      <c r="L481" s="9">
        <f t="shared" si="418"/>
        <v>5.3500365079365106E-2</v>
      </c>
      <c r="M481" s="2">
        <f t="shared" si="419"/>
        <v>9891.7140728747363</v>
      </c>
      <c r="N481" s="16">
        <f t="shared" si="430"/>
        <v>14.424395604395601</v>
      </c>
    </row>
    <row r="482" spans="1:14" ht="17">
      <c r="A482" s="1" t="s">
        <v>475</v>
      </c>
      <c r="B482" s="6">
        <f t="shared" ref="B482" si="456">C482/12.01%</f>
        <v>629115.74685810658</v>
      </c>
      <c r="C482" s="2">
        <v>75556.801197658599</v>
      </c>
      <c r="D482" s="9">
        <v>8.32253968253968E-2</v>
      </c>
      <c r="E482" s="2">
        <f t="shared" si="428"/>
        <v>59067.055115660587</v>
      </c>
      <c r="F482" s="9">
        <v>2.0167111111111104E-2</v>
      </c>
      <c r="G482" s="2">
        <f t="shared" si="429"/>
        <v>-133811.70361431845</v>
      </c>
      <c r="H482" s="7">
        <f t="shared" si="417"/>
        <v>-2.2654202643469969</v>
      </c>
      <c r="I482" s="9">
        <v>2.0167111111111104E-2</v>
      </c>
      <c r="J482" s="2">
        <v>-1623.3329893360799</v>
      </c>
      <c r="K482" s="13">
        <v>14.451153846153799</v>
      </c>
      <c r="L482" s="9">
        <f t="shared" si="418"/>
        <v>5.4096507936507922E-2</v>
      </c>
      <c r="M482" s="2">
        <f t="shared" si="419"/>
        <v>59067.055115660587</v>
      </c>
      <c r="N482" s="16">
        <f t="shared" si="430"/>
        <v>14.451153846153799</v>
      </c>
    </row>
    <row r="483" spans="1:14" ht="17">
      <c r="A483" s="1" t="s">
        <v>476</v>
      </c>
      <c r="B483" s="6">
        <f t="shared" ref="B483" si="457">C483/10.26%</f>
        <v>514937.26310676418</v>
      </c>
      <c r="C483" s="2">
        <v>52832.563194754002</v>
      </c>
      <c r="D483" s="9">
        <v>8.4142539682539694E-2</v>
      </c>
      <c r="E483" s="2">
        <f t="shared" si="428"/>
        <v>41834.693284413763</v>
      </c>
      <c r="F483" s="9">
        <v>2.0507911111111117E-2</v>
      </c>
      <c r="G483" s="2">
        <f t="shared" si="429"/>
        <v>-96415.526942472949</v>
      </c>
      <c r="H483" s="7">
        <f t="shared" si="417"/>
        <v>-2.3046787097730252</v>
      </c>
      <c r="I483" s="9">
        <v>2.0507911111111117E-2</v>
      </c>
      <c r="J483" s="2">
        <v>-1627.0275197798401</v>
      </c>
      <c r="K483" s="13">
        <v>14.477912087912101</v>
      </c>
      <c r="L483" s="9">
        <f t="shared" si="418"/>
        <v>5.46926507936508E-2</v>
      </c>
      <c r="M483" s="2">
        <f t="shared" si="419"/>
        <v>41834.693284413763</v>
      </c>
      <c r="N483" s="16">
        <f t="shared" si="430"/>
        <v>14.477912087912101</v>
      </c>
    </row>
    <row r="484" spans="1:14" ht="17">
      <c r="A484" s="1" t="s">
        <v>477</v>
      </c>
      <c r="B484" s="6">
        <f t="shared" ref="B484" si="458">C484/11.36%</f>
        <v>58156.584568470156</v>
      </c>
      <c r="C484" s="2">
        <v>6606.5880069782097</v>
      </c>
      <c r="D484" s="9">
        <v>8.5059682539682602E-2</v>
      </c>
      <c r="E484" s="2">
        <f t="shared" si="428"/>
        <v>5298.1250079088695</v>
      </c>
      <c r="F484" s="9">
        <v>2.084871111111113E-2</v>
      </c>
      <c r="G484" s="2">
        <f t="shared" si="429"/>
        <v>-12418.624456264157</v>
      </c>
      <c r="H484" s="7">
        <f t="shared" si="417"/>
        <v>-2.3439659195896732</v>
      </c>
      <c r="I484" s="9">
        <v>2.084871111111113E-2</v>
      </c>
      <c r="J484" s="2">
        <v>-1630.7220502236</v>
      </c>
      <c r="K484" s="13">
        <v>14.504670329670301</v>
      </c>
      <c r="L484" s="9">
        <f t="shared" si="418"/>
        <v>5.5288793650793693E-2</v>
      </c>
      <c r="M484" s="2">
        <f t="shared" si="419"/>
        <v>5298.1250079088695</v>
      </c>
      <c r="N484" s="16">
        <f t="shared" si="430"/>
        <v>14.504670329670301</v>
      </c>
    </row>
    <row r="485" spans="1:14" ht="17">
      <c r="A485" s="1" t="s">
        <v>478</v>
      </c>
      <c r="B485" s="6">
        <f t="shared" ref="B485" si="459">C485/9.31%</f>
        <v>39242.196455743717</v>
      </c>
      <c r="C485" s="2">
        <v>3653.4484900297398</v>
      </c>
      <c r="D485" s="9">
        <v>8.5976825396825399E-2</v>
      </c>
      <c r="E485" s="2">
        <f t="shared" si="428"/>
        <v>2966.9215425002085</v>
      </c>
      <c r="F485" s="9">
        <v>2.3233511111111112E-2</v>
      </c>
      <c r="G485" s="2">
        <f t="shared" si="429"/>
        <v>-7753.0994796176092</v>
      </c>
      <c r="H485" s="7">
        <f t="shared" si="417"/>
        <v>-2.6131798123263197</v>
      </c>
      <c r="I485" s="9">
        <v>2.3233511111111112E-2</v>
      </c>
      <c r="J485" s="2">
        <v>-1634.41658066735</v>
      </c>
      <c r="K485" s="13">
        <v>14.5314285714286</v>
      </c>
      <c r="L485" s="9">
        <f t="shared" si="418"/>
        <v>5.5884936507936508E-2</v>
      </c>
      <c r="M485" s="2">
        <f t="shared" si="419"/>
        <v>2966.9215425002085</v>
      </c>
      <c r="N485" s="16">
        <f t="shared" si="430"/>
        <v>14.5314285714286</v>
      </c>
    </row>
    <row r="486" spans="1:14" ht="17">
      <c r="A486" s="1" t="s">
        <v>479</v>
      </c>
      <c r="B486" s="6">
        <f t="shared" ref="B486:B487" si="460">C486/12.1%</f>
        <v>339248.28324759088</v>
      </c>
      <c r="C486" s="2">
        <v>41049.042272958497</v>
      </c>
      <c r="D486" s="9">
        <v>8.6893968253968307E-2</v>
      </c>
      <c r="E486" s="2">
        <f t="shared" si="428"/>
        <v>33753.071899684881</v>
      </c>
      <c r="F486" s="9">
        <v>2.1754311111111129E-2</v>
      </c>
      <c r="G486" s="2">
        <f t="shared" si="429"/>
        <v>-82621.810549170099</v>
      </c>
      <c r="H486" s="7">
        <f t="shared" si="417"/>
        <v>-2.4478308461737806</v>
      </c>
      <c r="I486" s="9">
        <v>2.1754311111111129E-2</v>
      </c>
      <c r="J486" s="2">
        <v>-1638.1111111111099</v>
      </c>
      <c r="K486" s="13">
        <v>14.558186813186801</v>
      </c>
      <c r="L486" s="9">
        <f t="shared" si="418"/>
        <v>5.6481079365079401E-2</v>
      </c>
      <c r="M486" s="2">
        <f t="shared" si="419"/>
        <v>33753.071899684881</v>
      </c>
      <c r="N486" s="16">
        <f t="shared" si="430"/>
        <v>14.558186813186801</v>
      </c>
    </row>
    <row r="487" spans="1:14" ht="17">
      <c r="A487" s="1" t="s">
        <v>480</v>
      </c>
      <c r="B487" s="6">
        <f t="shared" si="460"/>
        <v>67166.409004194473</v>
      </c>
      <c r="C487" s="2">
        <v>8127.1354895075301</v>
      </c>
      <c r="D487" s="9">
        <v>8.7811111111111104E-2</v>
      </c>
      <c r="E487" s="2">
        <f t="shared" si="428"/>
        <v>6765.5814457496517</v>
      </c>
      <c r="F487" s="9">
        <v>2.1843111111111112E-2</v>
      </c>
      <c r="G487" s="2">
        <f t="shared" si="429"/>
        <v>-16635.527163035109</v>
      </c>
      <c r="H487" s="7">
        <f t="shared" si="417"/>
        <v>-2.4588466337192738</v>
      </c>
      <c r="I487" s="9">
        <v>2.1843111111111112E-2</v>
      </c>
      <c r="J487" s="2">
        <v>-1641.8056415548699</v>
      </c>
      <c r="K487" s="13">
        <v>14.584945054945001</v>
      </c>
      <c r="L487" s="9">
        <f t="shared" si="418"/>
        <v>5.7077222222222217E-2</v>
      </c>
      <c r="M487" s="2">
        <f t="shared" si="419"/>
        <v>6765.5814457496517</v>
      </c>
      <c r="N487" s="16">
        <f t="shared" si="430"/>
        <v>14.584945054945001</v>
      </c>
    </row>
    <row r="488" spans="1:14" ht="17">
      <c r="A488" s="1" t="s">
        <v>481</v>
      </c>
      <c r="B488" s="6">
        <f t="shared" ref="B488" si="461">C488/11.09%</f>
        <v>61216.010288982063</v>
      </c>
      <c r="C488" s="2">
        <v>6788.8555410481104</v>
      </c>
      <c r="D488" s="9">
        <v>8.8728253968253998E-2</v>
      </c>
      <c r="E488" s="2">
        <f t="shared" si="428"/>
        <v>5721.0099673774512</v>
      </c>
      <c r="F488" s="9">
        <v>2.3159911111111126E-2</v>
      </c>
      <c r="G488" s="2">
        <f t="shared" si="429"/>
        <v>-14921.300604302749</v>
      </c>
      <c r="H488" s="7">
        <f t="shared" si="417"/>
        <v>-2.6081584701630525</v>
      </c>
      <c r="I488" s="9">
        <v>2.3159911111111126E-2</v>
      </c>
      <c r="J488" s="2">
        <v>-1645.5001719986201</v>
      </c>
      <c r="K488" s="13">
        <v>14.6117032967033</v>
      </c>
      <c r="L488" s="9">
        <f t="shared" si="418"/>
        <v>5.7673365079365102E-2</v>
      </c>
      <c r="M488" s="2">
        <f t="shared" si="419"/>
        <v>5721.0099673774512</v>
      </c>
      <c r="N488" s="16">
        <f t="shared" si="430"/>
        <v>14.6117032967033</v>
      </c>
    </row>
    <row r="489" spans="1:14" ht="17">
      <c r="A489" s="1" t="s">
        <v>482</v>
      </c>
      <c r="B489" s="6">
        <f t="shared" ref="B489" si="462">C489/12.01%</f>
        <v>148995.21958319482</v>
      </c>
      <c r="C489" s="2">
        <v>17894.325871941699</v>
      </c>
      <c r="D489" s="9">
        <v>8.9645396825396795E-2</v>
      </c>
      <c r="E489" s="2">
        <f t="shared" si="428"/>
        <v>15263.42962443085</v>
      </c>
      <c r="F489" s="9">
        <v>2.5544711111111135E-2</v>
      </c>
      <c r="G489" s="2">
        <f t="shared" si="429"/>
        <v>-43926.805313692705</v>
      </c>
      <c r="H489" s="7">
        <f t="shared" si="417"/>
        <v>-2.8779118713518272</v>
      </c>
      <c r="I489" s="9">
        <v>2.5544711111111135E-2</v>
      </c>
      <c r="J489" s="2">
        <v>-1649.19470244238</v>
      </c>
      <c r="K489" s="13">
        <v>14.638461538461501</v>
      </c>
      <c r="L489" s="9">
        <f t="shared" si="418"/>
        <v>5.8269507936507918E-2</v>
      </c>
      <c r="M489" s="2">
        <f t="shared" si="419"/>
        <v>15263.42962443085</v>
      </c>
      <c r="N489" s="16">
        <f t="shared" si="430"/>
        <v>14.638461538461501</v>
      </c>
    </row>
    <row r="490" spans="1:14" ht="17">
      <c r="A490" s="1" t="s">
        <v>483</v>
      </c>
      <c r="B490" s="6">
        <f t="shared" ref="B490" si="463">C490/10.26%</f>
        <v>307023.96354413743</v>
      </c>
      <c r="C490" s="2">
        <v>31500.658659628501</v>
      </c>
      <c r="D490" s="9">
        <v>7.3499999999999996E-2</v>
      </c>
      <c r="E490" s="2">
        <f t="shared" si="428"/>
        <v>22070.334039771871</v>
      </c>
      <c r="F490" s="9">
        <v>2.4065511111111122E-2</v>
      </c>
      <c r="G490" s="2">
        <f t="shared" si="429"/>
        <v>-59863.095579013461</v>
      </c>
      <c r="H490" s="7">
        <f t="shared" si="417"/>
        <v>-2.7123783206514727</v>
      </c>
      <c r="I490" s="9">
        <v>2.4065511111111122E-2</v>
      </c>
      <c r="J490" s="2">
        <v>-1652.88923288614</v>
      </c>
      <c r="K490" s="13">
        <v>14.6652197802198</v>
      </c>
      <c r="L490" s="9">
        <f t="shared" si="418"/>
        <v>4.7774999999999998E-2</v>
      </c>
      <c r="M490" s="2">
        <f t="shared" si="419"/>
        <v>22070.334039771871</v>
      </c>
      <c r="N490" s="16">
        <f t="shared" si="430"/>
        <v>14.6652197802198</v>
      </c>
    </row>
    <row r="491" spans="1:14" ht="17">
      <c r="A491" s="1" t="s">
        <v>484</v>
      </c>
      <c r="B491" s="6">
        <f t="shared" ref="B491" si="464">C491/11.36%</f>
        <v>85435.295956993039</v>
      </c>
      <c r="C491" s="2">
        <v>9705.4496207144093</v>
      </c>
      <c r="D491" s="9">
        <v>7.9799999999999996E-2</v>
      </c>
      <c r="E491" s="2">
        <f t="shared" si="428"/>
        <v>7396.2601382617195</v>
      </c>
      <c r="F491" s="9">
        <v>2.4154311111111135E-2</v>
      </c>
      <c r="G491" s="2">
        <f t="shared" si="429"/>
        <v>-20143.733343839744</v>
      </c>
      <c r="H491" s="7">
        <f t="shared" si="417"/>
        <v>-2.7235025495701337</v>
      </c>
      <c r="I491" s="9">
        <v>2.4154311111111135E-2</v>
      </c>
      <c r="J491" s="2">
        <v>-1656.58376332989</v>
      </c>
      <c r="K491" s="13">
        <v>14.691978021978001</v>
      </c>
      <c r="L491" s="9">
        <f t="shared" si="418"/>
        <v>5.1869999999999999E-2</v>
      </c>
      <c r="M491" s="2">
        <f t="shared" si="419"/>
        <v>7396.2601382617195</v>
      </c>
      <c r="N491" s="16">
        <f t="shared" si="430"/>
        <v>14.691978021978002</v>
      </c>
    </row>
    <row r="492" spans="1:14" ht="17">
      <c r="A492" s="1" t="s">
        <v>485</v>
      </c>
      <c r="B492" s="6">
        <f t="shared" ref="B492" si="465">C492/9.31%</f>
        <v>76443.401056652205</v>
      </c>
      <c r="C492" s="2">
        <v>7116.8806383743204</v>
      </c>
      <c r="D492" s="9">
        <v>6.8699999999999997E-2</v>
      </c>
      <c r="E492" s="2">
        <f t="shared" si="428"/>
        <v>4677.6777474003284</v>
      </c>
      <c r="F492" s="9">
        <v>1.4604800000000001E-2</v>
      </c>
      <c r="G492" s="2">
        <f t="shared" si="429"/>
        <v>-7706.1290901498887</v>
      </c>
      <c r="H492" s="7">
        <f t="shared" si="417"/>
        <v>-1.6474262457332927</v>
      </c>
      <c r="I492" s="9">
        <v>1.4604800000000001E-2</v>
      </c>
      <c r="J492" s="2">
        <v>-1660.2782937736499</v>
      </c>
      <c r="K492" s="13">
        <v>14.718736263736201</v>
      </c>
      <c r="L492" s="9">
        <f t="shared" si="418"/>
        <v>4.4655E-2</v>
      </c>
      <c r="M492" s="2">
        <f t="shared" si="419"/>
        <v>4677.6777474003284</v>
      </c>
      <c r="N492" s="16">
        <f t="shared" si="430"/>
        <v>14.718736263736202</v>
      </c>
    </row>
    <row r="493" spans="1:14" ht="17">
      <c r="A493" s="1" t="s">
        <v>486</v>
      </c>
      <c r="B493" s="6">
        <f t="shared" ref="B493:B494" si="466">C493/12.1%</f>
        <v>68237.408236482806</v>
      </c>
      <c r="C493" s="2">
        <v>8256.7263966144201</v>
      </c>
      <c r="D493" s="9">
        <v>8.3500000000000005E-2</v>
      </c>
      <c r="E493" s="2">
        <f t="shared" si="428"/>
        <v>6607.9548568625933</v>
      </c>
      <c r="F493" s="9">
        <v>1.4133600000000014E-2</v>
      </c>
      <c r="G493" s="2">
        <f t="shared" si="429"/>
        <v>-10539.178276778059</v>
      </c>
      <c r="H493" s="7">
        <f t="shared" si="417"/>
        <v>-1.5949228626815983</v>
      </c>
      <c r="I493" s="9">
        <v>1.4133600000000014E-2</v>
      </c>
      <c r="J493" s="2">
        <v>-1663.9728242174001</v>
      </c>
      <c r="K493" s="13">
        <v>14.7454945054945</v>
      </c>
      <c r="L493" s="9">
        <f t="shared" si="418"/>
        <v>5.4275000000000004E-2</v>
      </c>
      <c r="M493" s="2">
        <f t="shared" si="419"/>
        <v>6607.9548568625933</v>
      </c>
      <c r="N493" s="16">
        <f t="shared" si="430"/>
        <v>14.7454945054945</v>
      </c>
    </row>
    <row r="494" spans="1:14" ht="17">
      <c r="A494" s="1" t="s">
        <v>487</v>
      </c>
      <c r="B494" s="6">
        <f t="shared" si="466"/>
        <v>56099.612516547517</v>
      </c>
      <c r="C494" s="2">
        <v>6788.0531145022496</v>
      </c>
      <c r="D494" s="9">
        <v>8.9800000000000005E-2</v>
      </c>
      <c r="E494" s="2">
        <f t="shared" si="428"/>
        <v>5853.042193033386</v>
      </c>
      <c r="F494" s="9">
        <v>2.1252E-2</v>
      </c>
      <c r="G494" s="2">
        <f t="shared" si="429"/>
        <v>-14042.49117977984</v>
      </c>
      <c r="H494" s="7">
        <f t="shared" si="417"/>
        <v>-2.3991781908720884</v>
      </c>
      <c r="I494" s="9">
        <v>2.1252E-2</v>
      </c>
      <c r="J494" s="2">
        <v>-1667.6673546611601</v>
      </c>
      <c r="K494" s="13">
        <v>14.772252747252701</v>
      </c>
      <c r="L494" s="9">
        <f t="shared" si="418"/>
        <v>5.8370000000000005E-2</v>
      </c>
      <c r="M494" s="2">
        <f t="shared" si="419"/>
        <v>5853.042193033386</v>
      </c>
      <c r="N494" s="16">
        <f t="shared" si="430"/>
        <v>14.772252747252702</v>
      </c>
    </row>
    <row r="495" spans="1:14" ht="17">
      <c r="A495" s="1" t="s">
        <v>488</v>
      </c>
      <c r="B495" s="6">
        <f t="shared" ref="B495" si="467">C495/11.09%</f>
        <v>222864.58402148873</v>
      </c>
      <c r="C495" s="2">
        <v>24715.6823679831</v>
      </c>
      <c r="D495" s="9">
        <v>8.8700000000000001E-2</v>
      </c>
      <c r="E495" s="2">
        <f t="shared" si="428"/>
        <v>21088.334146989051</v>
      </c>
      <c r="F495" s="9">
        <v>2.2008000000000003E-2</v>
      </c>
      <c r="G495" s="2">
        <f t="shared" si="429"/>
        <v>-52415.611055309979</v>
      </c>
      <c r="H495" s="7">
        <f t="shared" si="417"/>
        <v>-2.4855263905610001</v>
      </c>
      <c r="I495" s="9">
        <v>2.2008000000000003E-2</v>
      </c>
      <c r="J495" s="2">
        <v>-1671.36188510492</v>
      </c>
      <c r="K495" s="13">
        <v>14.799010989011</v>
      </c>
      <c r="L495" s="9">
        <f t="shared" si="418"/>
        <v>5.7655000000000005E-2</v>
      </c>
      <c r="M495" s="2">
        <f t="shared" si="419"/>
        <v>21088.334146989051</v>
      </c>
      <c r="N495" s="16">
        <f t="shared" si="430"/>
        <v>14.799010989011</v>
      </c>
    </row>
    <row r="496" spans="1:14" ht="17">
      <c r="A496" s="1" t="s">
        <v>489</v>
      </c>
      <c r="B496" s="6">
        <f t="shared" ref="B496" si="468">C496/12.01%</f>
        <v>44422.952691263112</v>
      </c>
      <c r="C496" s="2">
        <v>5335.1966182206997</v>
      </c>
      <c r="D496" s="9">
        <v>5.9900000000000002E-2</v>
      </c>
      <c r="E496" s="2">
        <f t="shared" si="428"/>
        <v>3079.6959650372301</v>
      </c>
      <c r="F496" s="9">
        <v>1.4028000000000001E-2</v>
      </c>
      <c r="G496" s="2">
        <f t="shared" si="429"/>
        <v>-4881.078631240227</v>
      </c>
      <c r="H496" s="7">
        <f t="shared" si="417"/>
        <v>-1.5849222412385828</v>
      </c>
      <c r="I496" s="9">
        <v>1.4028000000000001E-2</v>
      </c>
      <c r="J496" s="2">
        <v>-1675.05641554867</v>
      </c>
      <c r="K496" s="13">
        <v>14.8257692307692</v>
      </c>
      <c r="L496" s="9">
        <f t="shared" si="418"/>
        <v>3.8935000000000004E-2</v>
      </c>
      <c r="M496" s="2">
        <f t="shared" si="419"/>
        <v>3079.6959650372301</v>
      </c>
      <c r="N496" s="16">
        <f t="shared" si="430"/>
        <v>14.825769230769202</v>
      </c>
    </row>
    <row r="497" spans="1:14" ht="17">
      <c r="A497" s="1" t="s">
        <v>490</v>
      </c>
      <c r="B497" s="6">
        <f t="shared" ref="B497" si="469">C497/10.26%</f>
        <v>61103.886326999229</v>
      </c>
      <c r="C497" s="2">
        <v>6269.2587371501204</v>
      </c>
      <c r="D497" s="9">
        <v>8.1100000000000005E-2</v>
      </c>
      <c r="E497" s="2">
        <f t="shared" si="428"/>
        <v>4908.5223079495945</v>
      </c>
      <c r="F497" s="9">
        <v>2.0272000000000005E-2</v>
      </c>
      <c r="G497" s="2">
        <f t="shared" si="429"/>
        <v>-11246.911368193385</v>
      </c>
      <c r="H497" s="7">
        <f t="shared" si="417"/>
        <v>-2.2913028937402315</v>
      </c>
      <c r="I497" s="9">
        <v>2.0272000000000005E-2</v>
      </c>
      <c r="J497" s="2">
        <v>-1678.7509459924299</v>
      </c>
      <c r="K497" s="13">
        <v>14.8525274725275</v>
      </c>
      <c r="L497" s="9">
        <f t="shared" si="418"/>
        <v>5.2715000000000005E-2</v>
      </c>
      <c r="M497" s="2">
        <f t="shared" si="419"/>
        <v>4908.5223079495945</v>
      </c>
      <c r="N497" s="16">
        <f t="shared" si="430"/>
        <v>14.852527472527498</v>
      </c>
    </row>
    <row r="498" spans="1:14" ht="17">
      <c r="A498" s="1" t="s">
        <v>491</v>
      </c>
      <c r="B498" s="6">
        <f t="shared" ref="B498" si="470">C498/11.36%</f>
        <v>324761.72704802203</v>
      </c>
      <c r="C498" s="2">
        <v>36892.932192655302</v>
      </c>
      <c r="D498" s="9">
        <v>7.4399999999999994E-2</v>
      </c>
      <c r="E498" s="2">
        <f t="shared" si="428"/>
        <v>26546.7615611654</v>
      </c>
      <c r="F498" s="9">
        <v>1.8088000000000003E-2</v>
      </c>
      <c r="G498" s="2">
        <f t="shared" si="429"/>
        <v>-54295.147085912686</v>
      </c>
      <c r="H498" s="7">
        <f t="shared" si="417"/>
        <v>-2.0452644274825489</v>
      </c>
      <c r="I498" s="9">
        <v>1.8088000000000003E-2</v>
      </c>
      <c r="J498" s="2">
        <v>-1682.4454764361899</v>
      </c>
      <c r="K498" s="13">
        <v>14.8792857142857</v>
      </c>
      <c r="L498" s="9">
        <f t="shared" si="418"/>
        <v>4.836E-2</v>
      </c>
      <c r="M498" s="2">
        <f t="shared" si="419"/>
        <v>26546.7615611654</v>
      </c>
      <c r="N498" s="16">
        <f t="shared" si="430"/>
        <v>14.879285714285698</v>
      </c>
    </row>
    <row r="499" spans="1:14" ht="17">
      <c r="A499" s="1" t="s">
        <v>492</v>
      </c>
      <c r="B499" s="6">
        <f t="shared" ref="B499" si="471">C499/9.31%</f>
        <v>91401.113320904304</v>
      </c>
      <c r="C499" s="2">
        <v>8509.4436501761902</v>
      </c>
      <c r="D499" s="9">
        <v>8.0860000000000001E-2</v>
      </c>
      <c r="E499" s="2">
        <f t="shared" si="428"/>
        <v>6666.6960936021287</v>
      </c>
      <c r="F499" s="9">
        <v>2.0512800000000005E-2</v>
      </c>
      <c r="G499" s="2">
        <f t="shared" si="429"/>
        <v>-15469.163830695059</v>
      </c>
      <c r="H499" s="7">
        <f t="shared" si="417"/>
        <v>-2.3203643324225403</v>
      </c>
      <c r="I499" s="9">
        <v>2.0512800000000005E-2</v>
      </c>
      <c r="J499" s="2">
        <v>-1686.1400068799401</v>
      </c>
      <c r="K499" s="13">
        <v>14.9060439560439</v>
      </c>
      <c r="L499" s="9">
        <f t="shared" si="418"/>
        <v>5.2559000000000002E-2</v>
      </c>
      <c r="M499" s="2">
        <f t="shared" si="419"/>
        <v>6666.6960936021287</v>
      </c>
      <c r="N499" s="16">
        <f t="shared" si="430"/>
        <v>14.9060439560439</v>
      </c>
    </row>
    <row r="500" spans="1:14" ht="17">
      <c r="A500" s="1" t="s">
        <v>493</v>
      </c>
      <c r="B500" s="6">
        <f t="shared" ref="B500:B501" si="472">C500/12.1%</f>
        <v>183570.04996694464</v>
      </c>
      <c r="C500" s="2">
        <v>22211.976046000302</v>
      </c>
      <c r="D500" s="9">
        <v>7.0277142857142899E-2</v>
      </c>
      <c r="E500" s="2">
        <f t="shared" si="428"/>
        <v>15151.511586547205</v>
      </c>
      <c r="F500" s="9">
        <v>1.6541600000000014E-2</v>
      </c>
      <c r="G500" s="2">
        <f t="shared" si="429"/>
        <v>-28361.9669570685</v>
      </c>
      <c r="H500" s="7">
        <f t="shared" si="417"/>
        <v>-1.8718902595996201</v>
      </c>
      <c r="I500" s="9">
        <v>1.6541600000000014E-2</v>
      </c>
      <c r="J500" s="2">
        <v>-1689.8345373237</v>
      </c>
      <c r="K500" s="13">
        <v>14.9328021978022</v>
      </c>
      <c r="L500" s="9">
        <f t="shared" si="418"/>
        <v>4.5680142857142884E-2</v>
      </c>
      <c r="M500" s="2">
        <f t="shared" si="419"/>
        <v>15151.511586547205</v>
      </c>
      <c r="N500" s="16">
        <f t="shared" si="430"/>
        <v>14.932802197802202</v>
      </c>
    </row>
    <row r="501" spans="1:14" ht="17">
      <c r="A501" s="1" t="s">
        <v>494</v>
      </c>
      <c r="B501" s="6">
        <f t="shared" si="472"/>
        <v>65841.340787451409</v>
      </c>
      <c r="C501" s="2">
        <v>7966.8022352816197</v>
      </c>
      <c r="D501" s="9">
        <v>8.9694285714285699E-2</v>
      </c>
      <c r="E501" s="2">
        <f t="shared" si="428"/>
        <v>6948.3390429383835</v>
      </c>
      <c r="F501" s="9">
        <v>2.2062399999999999E-2</v>
      </c>
      <c r="G501" s="2">
        <f t="shared" si="429"/>
        <v>-17354.319088022468</v>
      </c>
      <c r="H501" s="7">
        <f t="shared" si="417"/>
        <v>-2.497621227285924</v>
      </c>
      <c r="I501" s="9">
        <v>2.2062399999999999E-2</v>
      </c>
      <c r="J501" s="2">
        <v>-1693.52906776746</v>
      </c>
      <c r="K501" s="13">
        <v>14.9595604395604</v>
      </c>
      <c r="L501" s="9">
        <f t="shared" si="418"/>
        <v>5.8301285714285708E-2</v>
      </c>
      <c r="M501" s="2">
        <f t="shared" si="419"/>
        <v>6948.3390429383835</v>
      </c>
      <c r="N501" s="16">
        <f t="shared" si="430"/>
        <v>14.959560439560404</v>
      </c>
    </row>
    <row r="502" spans="1:14" ht="17">
      <c r="A502" s="1" t="s">
        <v>495</v>
      </c>
      <c r="B502" s="6">
        <f t="shared" ref="B502" si="473">C502/11.09%</f>
        <v>228820.7951044103</v>
      </c>
      <c r="C502" s="2">
        <v>25376.226177079101</v>
      </c>
      <c r="D502" s="9">
        <v>7.7722539682539699E-2</v>
      </c>
      <c r="E502" s="2">
        <f t="shared" si="428"/>
        <v>19212.431849552348</v>
      </c>
      <c r="F502" s="9">
        <v>1.8794311111111118E-2</v>
      </c>
      <c r="G502" s="2">
        <f t="shared" si="429"/>
        <v>-40893.36507164198</v>
      </c>
      <c r="H502" s="7">
        <f t="shared" si="417"/>
        <v>-2.1284845870563127</v>
      </c>
      <c r="I502" s="9">
        <v>1.8794311111111118E-2</v>
      </c>
      <c r="J502" s="2">
        <v>-1697.2235982112099</v>
      </c>
      <c r="K502" s="13">
        <v>14.9863186813187</v>
      </c>
      <c r="L502" s="9">
        <f t="shared" si="418"/>
        <v>5.0519650793650804E-2</v>
      </c>
      <c r="M502" s="2">
        <f t="shared" si="419"/>
        <v>19212.431849552348</v>
      </c>
      <c r="N502" s="16">
        <f t="shared" si="430"/>
        <v>14.986318681318698</v>
      </c>
    </row>
    <row r="503" spans="1:14" ht="17">
      <c r="A503" s="1" t="s">
        <v>496</v>
      </c>
      <c r="B503" s="6">
        <f t="shared" ref="B503" si="474">C503/12.01%</f>
        <v>44134.905206257536</v>
      </c>
      <c r="C503" s="2">
        <v>5300.6021152715302</v>
      </c>
      <c r="D503" s="9">
        <v>7.8639682539682607E-2</v>
      </c>
      <c r="E503" s="2">
        <f t="shared" si="428"/>
        <v>4067.7103794124155</v>
      </c>
      <c r="F503" s="9">
        <v>2.1179111111111103E-2</v>
      </c>
      <c r="G503" s="2">
        <f t="shared" si="429"/>
        <v>-9760.4862176603474</v>
      </c>
      <c r="H503" s="7">
        <f t="shared" si="417"/>
        <v>-2.3995037274679962</v>
      </c>
      <c r="I503" s="9">
        <v>2.1179111111111103E-2</v>
      </c>
      <c r="J503" s="2">
        <v>-1700.9181286549699</v>
      </c>
      <c r="K503" s="13">
        <v>15.0130769230769</v>
      </c>
      <c r="L503" s="9">
        <f t="shared" si="418"/>
        <v>5.1115793650793696E-2</v>
      </c>
      <c r="M503" s="2">
        <f t="shared" si="419"/>
        <v>4067.7103794124155</v>
      </c>
      <c r="N503" s="16">
        <f t="shared" si="430"/>
        <v>15.0130769230769</v>
      </c>
    </row>
    <row r="504" spans="1:14" ht="17">
      <c r="A504" s="1" t="s">
        <v>497</v>
      </c>
      <c r="B504" s="6">
        <f t="shared" ref="B504" si="475">C504/10.26%</f>
        <v>235231.46305501656</v>
      </c>
      <c r="C504" s="2">
        <v>24134.748109444699</v>
      </c>
      <c r="D504" s="9">
        <v>7.9556825396825404E-2</v>
      </c>
      <c r="E504" s="2">
        <f t="shared" si="428"/>
        <v>18770.534887254991</v>
      </c>
      <c r="F504" s="9">
        <v>1.9699911111111114E-2</v>
      </c>
      <c r="G504" s="2">
        <f t="shared" si="429"/>
        <v>-41910.568119957643</v>
      </c>
      <c r="H504" s="7">
        <f t="shared" si="417"/>
        <v>-2.2327849670610349</v>
      </c>
      <c r="I504" s="9">
        <v>1.9699911111111114E-2</v>
      </c>
      <c r="J504" s="2">
        <v>-1704.6126590987301</v>
      </c>
      <c r="K504" s="13">
        <v>15.0398351648351</v>
      </c>
      <c r="L504" s="9">
        <f t="shared" si="418"/>
        <v>5.1711936507936512E-2</v>
      </c>
      <c r="M504" s="2">
        <f t="shared" si="419"/>
        <v>18770.534887254991</v>
      </c>
      <c r="N504" s="16">
        <f t="shared" si="430"/>
        <v>15.039835164835102</v>
      </c>
    </row>
    <row r="505" spans="1:14" ht="17">
      <c r="A505" s="1" t="s">
        <v>498</v>
      </c>
      <c r="B505" s="6">
        <f t="shared" ref="B505" si="476">C505/11.36%</f>
        <v>45745.619750169193</v>
      </c>
      <c r="C505" s="2">
        <v>5196.7024036192197</v>
      </c>
      <c r="D505" s="9">
        <v>8.0473968253968298E-2</v>
      </c>
      <c r="E505" s="2">
        <f t="shared" si="428"/>
        <v>4095.5448803451959</v>
      </c>
      <c r="F505" s="9">
        <v>1.9788711111111124E-2</v>
      </c>
      <c r="G505" s="2">
        <f t="shared" si="429"/>
        <v>-9189.2506595160612</v>
      </c>
      <c r="H505" s="7">
        <f t="shared" si="417"/>
        <v>-2.2437187060544526</v>
      </c>
      <c r="I505" s="9">
        <v>1.9788711111111124E-2</v>
      </c>
      <c r="J505" s="2">
        <v>-1708.30718954248</v>
      </c>
      <c r="K505" s="13">
        <v>15.0665934065934</v>
      </c>
      <c r="L505" s="9">
        <f t="shared" si="418"/>
        <v>5.2308079365079398E-2</v>
      </c>
      <c r="M505" s="2">
        <f t="shared" si="419"/>
        <v>4095.5448803451959</v>
      </c>
      <c r="N505" s="16">
        <f t="shared" si="430"/>
        <v>15.0665934065934</v>
      </c>
    </row>
    <row r="506" spans="1:14" ht="17">
      <c r="A506" s="1" t="s">
        <v>499</v>
      </c>
      <c r="B506" s="6">
        <f t="shared" ref="B506" si="477">C506/9.31%</f>
        <v>91392.220267503639</v>
      </c>
      <c r="C506" s="2">
        <v>8508.6157069045894</v>
      </c>
      <c r="D506" s="9">
        <v>8.1391111111111095E-2</v>
      </c>
      <c r="E506" s="2">
        <f t="shared" si="428"/>
        <v>6794.1469117520292</v>
      </c>
      <c r="F506" s="9">
        <v>2.0353511111111108E-2</v>
      </c>
      <c r="G506" s="2">
        <f t="shared" si="429"/>
        <v>-15685.298151103003</v>
      </c>
      <c r="H506" s="7">
        <f t="shared" ref="H506:H569" si="478">G506/E506</f>
        <v>-2.3086486581518715</v>
      </c>
      <c r="I506" s="9">
        <v>2.0353511111111108E-2</v>
      </c>
      <c r="J506" s="2">
        <v>-1712.00171998624</v>
      </c>
      <c r="K506" s="13">
        <v>15.0933516483516</v>
      </c>
      <c r="L506" s="9">
        <f t="shared" ref="L506:L569" si="479">D506*65%</f>
        <v>5.2904222222222214E-2</v>
      </c>
      <c r="M506" s="2">
        <f t="shared" ref="M506:M569" si="480">C506*L506*K506</f>
        <v>6794.1469117520292</v>
      </c>
      <c r="N506" s="16">
        <f t="shared" si="430"/>
        <v>15.093351648351602</v>
      </c>
    </row>
    <row r="507" spans="1:14" ht="17">
      <c r="A507" s="1" t="s">
        <v>500</v>
      </c>
      <c r="B507" s="6">
        <f t="shared" ref="B507:B508" si="481">C507/12.1%</f>
        <v>63778.954954610745</v>
      </c>
      <c r="C507" s="2">
        <v>7717.2535495079001</v>
      </c>
      <c r="D507" s="9">
        <v>8.2308253968254003E-2</v>
      </c>
      <c r="E507" s="2">
        <f t="shared" si="428"/>
        <v>6242.728711483609</v>
      </c>
      <c r="F507" s="9">
        <v>2.030231111111112E-2</v>
      </c>
      <c r="G507" s="2">
        <f t="shared" si="429"/>
        <v>-14381.540065211837</v>
      </c>
      <c r="H507" s="7">
        <f t="shared" si="478"/>
        <v>-2.3037265801342195</v>
      </c>
      <c r="I507" s="9">
        <v>2.030231111111112E-2</v>
      </c>
      <c r="J507" s="2">
        <v>-1715.69625042999</v>
      </c>
      <c r="K507" s="13">
        <v>15.1201098901099</v>
      </c>
      <c r="L507" s="9">
        <f t="shared" si="479"/>
        <v>5.3500365079365106E-2</v>
      </c>
      <c r="M507" s="2">
        <f t="shared" si="480"/>
        <v>6242.728711483609</v>
      </c>
      <c r="N507" s="16">
        <f t="shared" si="430"/>
        <v>15.120109890109902</v>
      </c>
    </row>
    <row r="508" spans="1:14" ht="17">
      <c r="A508" s="1" t="s">
        <v>501</v>
      </c>
      <c r="B508" s="6">
        <f t="shared" si="481"/>
        <v>244172.93331341408</v>
      </c>
      <c r="C508" s="2">
        <v>29544.924930923102</v>
      </c>
      <c r="D508" s="9">
        <v>8.32253968253968E-2</v>
      </c>
      <c r="E508" s="2">
        <f t="shared" si="428"/>
        <v>24208.894986404212</v>
      </c>
      <c r="F508" s="9">
        <v>2.1175111111111106E-2</v>
      </c>
      <c r="G508" s="2">
        <f t="shared" si="429"/>
        <v>-58190.543525318193</v>
      </c>
      <c r="H508" s="7">
        <f t="shared" si="478"/>
        <v>-2.4036844126094223</v>
      </c>
      <c r="I508" s="9">
        <v>2.1175111111111106E-2</v>
      </c>
      <c r="J508" s="2">
        <v>-1719.3907808737499</v>
      </c>
      <c r="K508" s="13">
        <v>15.1468681318681</v>
      </c>
      <c r="L508" s="9">
        <f t="shared" si="479"/>
        <v>5.4096507936507922E-2</v>
      </c>
      <c r="M508" s="2">
        <f t="shared" si="480"/>
        <v>24208.894986404212</v>
      </c>
      <c r="N508" s="16">
        <f t="shared" si="430"/>
        <v>15.146868131868095</v>
      </c>
    </row>
    <row r="509" spans="1:14" ht="17">
      <c r="A509" s="1" t="s">
        <v>502</v>
      </c>
      <c r="B509" s="6">
        <f t="shared" ref="B509" si="482">C509/11.09%</f>
        <v>71087.955494411988</v>
      </c>
      <c r="C509" s="2">
        <v>7883.6542643302901</v>
      </c>
      <c r="D509" s="9">
        <v>8.4142539682539694E-2</v>
      </c>
      <c r="E509" s="2">
        <f t="shared" si="428"/>
        <v>6542.533108639981</v>
      </c>
      <c r="F509" s="9">
        <v>2.042391111111112E-2</v>
      </c>
      <c r="G509" s="2">
        <f t="shared" si="429"/>
        <v>-15174.075301833655</v>
      </c>
      <c r="H509" s="7">
        <f t="shared" si="478"/>
        <v>-2.3192966775811916</v>
      </c>
      <c r="I509" s="9">
        <v>2.042391111111112E-2</v>
      </c>
      <c r="J509" s="2">
        <v>-1723.0853113175101</v>
      </c>
      <c r="K509" s="13">
        <v>15.1736263736264</v>
      </c>
      <c r="L509" s="9">
        <f t="shared" si="479"/>
        <v>5.46926507936508E-2</v>
      </c>
      <c r="M509" s="2">
        <f t="shared" si="480"/>
        <v>6542.533108639981</v>
      </c>
      <c r="N509" s="16">
        <f t="shared" si="430"/>
        <v>15.173626373626401</v>
      </c>
    </row>
    <row r="510" spans="1:14" ht="17">
      <c r="A510" s="1" t="s">
        <v>503</v>
      </c>
      <c r="B510" s="6">
        <f t="shared" ref="B510" si="483">C510/12.01%</f>
        <v>315411.48736619647</v>
      </c>
      <c r="C510" s="2">
        <v>37880.919632680198</v>
      </c>
      <c r="D510" s="9">
        <v>8.5059682539682602E-2</v>
      </c>
      <c r="E510" s="2">
        <f t="shared" si="428"/>
        <v>31835.53883762757</v>
      </c>
      <c r="F510" s="9">
        <v>2.0764711111111129E-2</v>
      </c>
      <c r="G510" s="2">
        <f t="shared" si="429"/>
        <v>-75096.637464812491</v>
      </c>
      <c r="H510" s="7">
        <f t="shared" si="478"/>
        <v>-2.3588932434230725</v>
      </c>
      <c r="I510" s="9">
        <v>2.0764711111111129E-2</v>
      </c>
      <c r="J510" s="2">
        <v>-1726.7798417612601</v>
      </c>
      <c r="K510" s="13">
        <v>15.2003846153846</v>
      </c>
      <c r="L510" s="9">
        <f t="shared" si="479"/>
        <v>5.5288793650793693E-2</v>
      </c>
      <c r="M510" s="2">
        <f t="shared" si="480"/>
        <v>31835.53883762757</v>
      </c>
      <c r="N510" s="16">
        <f t="shared" si="430"/>
        <v>15.2003846153846</v>
      </c>
    </row>
    <row r="511" spans="1:14" ht="17">
      <c r="A511" s="1" t="s">
        <v>504</v>
      </c>
      <c r="B511" s="6">
        <f t="shared" ref="B511" si="484">C511/10.26%</f>
        <v>67506.425289550301</v>
      </c>
      <c r="C511" s="2">
        <v>6926.1592347078604</v>
      </c>
      <c r="D511" s="9">
        <v>8.5976825396825399E-2</v>
      </c>
      <c r="E511" s="2">
        <f t="shared" si="428"/>
        <v>5893.9392605368748</v>
      </c>
      <c r="F511" s="9">
        <v>2.3159911111111126E-2</v>
      </c>
      <c r="G511" s="2">
        <f t="shared" si="429"/>
        <v>-15512.76787144449</v>
      </c>
      <c r="H511" s="7">
        <f t="shared" si="478"/>
        <v>-2.6319863822335088</v>
      </c>
      <c r="I511" s="9">
        <v>2.3159911111111126E-2</v>
      </c>
      <c r="J511" s="2">
        <v>-1730.47437220502</v>
      </c>
      <c r="K511" s="13">
        <v>15.2271428571428</v>
      </c>
      <c r="L511" s="9">
        <f t="shared" si="479"/>
        <v>5.5884936507936508E-2</v>
      </c>
      <c r="M511" s="2">
        <f t="shared" si="480"/>
        <v>5893.9392605368748</v>
      </c>
      <c r="N511" s="16">
        <f t="shared" si="430"/>
        <v>15.227142857142798</v>
      </c>
    </row>
    <row r="512" spans="1:14" ht="17">
      <c r="A512" s="1" t="s">
        <v>505</v>
      </c>
      <c r="B512" s="6">
        <f t="shared" ref="B512" si="485">C512/11.36%</f>
        <v>61292.645241314262</v>
      </c>
      <c r="C512" s="2">
        <v>6962.8444994132997</v>
      </c>
      <c r="D512" s="9">
        <v>8.6893968253968307E-2</v>
      </c>
      <c r="E512" s="2">
        <f t="shared" si="428"/>
        <v>5998.8860160230961</v>
      </c>
      <c r="F512" s="9">
        <v>2.5544711111111135E-2</v>
      </c>
      <c r="G512" s="2">
        <f t="shared" si="429"/>
        <v>-17421.360732000063</v>
      </c>
      <c r="H512" s="7">
        <f t="shared" si="478"/>
        <v>-2.9040993086828788</v>
      </c>
      <c r="I512" s="9">
        <v>2.5544711111111135E-2</v>
      </c>
      <c r="J512" s="2">
        <v>-1734.16890264878</v>
      </c>
      <c r="K512" s="13">
        <v>15.2539010989011</v>
      </c>
      <c r="L512" s="9">
        <f t="shared" si="479"/>
        <v>5.6481079365079401E-2</v>
      </c>
      <c r="M512" s="2">
        <f t="shared" si="480"/>
        <v>5998.8860160230961</v>
      </c>
      <c r="N512" s="16">
        <f t="shared" si="430"/>
        <v>15.253901098901101</v>
      </c>
    </row>
    <row r="513" spans="1:14" ht="17">
      <c r="A513" s="1" t="s">
        <v>506</v>
      </c>
      <c r="B513" s="6">
        <f t="shared" ref="B513" si="486">C513/9.31%</f>
        <v>104850.07706888411</v>
      </c>
      <c r="C513" s="2">
        <v>9761.5421751131107</v>
      </c>
      <c r="D513" s="9">
        <v>8.7811111111111104E-2</v>
      </c>
      <c r="E513" s="2">
        <f t="shared" si="428"/>
        <v>8513.7983181273285</v>
      </c>
      <c r="F513" s="9">
        <v>2.4065511111111122E-2</v>
      </c>
      <c r="G513" s="2">
        <f t="shared" si="429"/>
        <v>-23301.935679659182</v>
      </c>
      <c r="H513" s="7">
        <f t="shared" si="478"/>
        <v>-2.7369612021517336</v>
      </c>
      <c r="I513" s="9">
        <v>2.4065511111111122E-2</v>
      </c>
      <c r="J513" s="2">
        <v>-1737.8634330925299</v>
      </c>
      <c r="K513" s="13">
        <v>15.2806593406593</v>
      </c>
      <c r="L513" s="9">
        <f t="shared" si="479"/>
        <v>5.7077222222222217E-2</v>
      </c>
      <c r="M513" s="2">
        <f t="shared" si="480"/>
        <v>8513.7983181273285</v>
      </c>
      <c r="N513" s="16">
        <f t="shared" si="430"/>
        <v>15.2806593406593</v>
      </c>
    </row>
    <row r="514" spans="1:14" ht="17">
      <c r="A514" s="1" t="s">
        <v>507</v>
      </c>
      <c r="B514" s="6">
        <f t="shared" ref="B514:B515" si="487">C514/12.1%</f>
        <v>332929.43906550162</v>
      </c>
      <c r="C514" s="2">
        <v>40284.462126925697</v>
      </c>
      <c r="D514" s="9">
        <v>8.8728253968253998E-2</v>
      </c>
      <c r="E514" s="2">
        <f t="shared" si="428"/>
        <v>35564.343086040404</v>
      </c>
      <c r="F514" s="9">
        <v>2.4154311111111135E-2</v>
      </c>
      <c r="G514" s="2">
        <f t="shared" si="429"/>
        <v>-97733.949806448203</v>
      </c>
      <c r="H514" s="7">
        <f t="shared" si="478"/>
        <v>-2.7480881502577339</v>
      </c>
      <c r="I514" s="9">
        <v>2.4154311111111135E-2</v>
      </c>
      <c r="J514" s="2">
        <v>-1741.5579635362899</v>
      </c>
      <c r="K514" s="13">
        <v>15.3074175824176</v>
      </c>
      <c r="L514" s="9">
        <f t="shared" si="479"/>
        <v>5.7673365079365102E-2</v>
      </c>
      <c r="M514" s="2">
        <f t="shared" si="480"/>
        <v>35564.343086040404</v>
      </c>
      <c r="N514" s="16">
        <f t="shared" si="430"/>
        <v>15.307417582417598</v>
      </c>
    </row>
    <row r="515" spans="1:14" ht="17">
      <c r="A515" s="1" t="s">
        <v>508</v>
      </c>
      <c r="B515" s="6">
        <f t="shared" si="487"/>
        <v>38441.595885657938</v>
      </c>
      <c r="C515" s="2">
        <v>4651.4331021646103</v>
      </c>
      <c r="D515" s="9">
        <v>8.9645396825396795E-2</v>
      </c>
      <c r="E515" s="2">
        <f t="shared" ref="E515:E578" si="488">C515*L515*K515</f>
        <v>4156.1246895812583</v>
      </c>
      <c r="F515" s="9">
        <v>1.4604800000000001E-2</v>
      </c>
      <c r="G515" s="2">
        <f t="shared" ref="G515:G578" si="489">C515*L515*F515*J515</f>
        <v>-6908.4721511623684</v>
      </c>
      <c r="H515" s="7">
        <f t="shared" si="478"/>
        <v>-1.6622389045450936</v>
      </c>
      <c r="I515" s="9">
        <v>1.4604800000000001E-2</v>
      </c>
      <c r="J515" s="2">
        <v>-1745.2524939800501</v>
      </c>
      <c r="K515" s="13">
        <v>15.3341758241758</v>
      </c>
      <c r="L515" s="9">
        <f t="shared" si="479"/>
        <v>5.8269507936507918E-2</v>
      </c>
      <c r="M515" s="2">
        <f t="shared" si="480"/>
        <v>4156.1246895812583</v>
      </c>
      <c r="N515" s="16">
        <f t="shared" ref="N515:N578" si="490">J515*I515/H515</f>
        <v>15.334175824175798</v>
      </c>
    </row>
    <row r="516" spans="1:14" ht="17">
      <c r="A516" s="1" t="s">
        <v>509</v>
      </c>
      <c r="B516" s="6">
        <f t="shared" ref="B516" si="491">C516/11.09%</f>
        <v>19950.37680483652</v>
      </c>
      <c r="C516" s="2">
        <v>2212.4967876563701</v>
      </c>
      <c r="D516" s="9">
        <v>9.0562539682539703E-2</v>
      </c>
      <c r="E516" s="2">
        <f t="shared" si="488"/>
        <v>2000.6090248524981</v>
      </c>
      <c r="F516" s="9">
        <v>1.4133600000000014E-2</v>
      </c>
      <c r="G516" s="2">
        <f t="shared" si="489"/>
        <v>-3219.3934009292325</v>
      </c>
      <c r="H516" s="7">
        <f t="shared" si="478"/>
        <v>-1.6092066770350562</v>
      </c>
      <c r="I516" s="9">
        <v>1.4133600000000014E-2</v>
      </c>
      <c r="J516" s="2">
        <v>-1748.9470244238</v>
      </c>
      <c r="K516" s="13">
        <v>15.360934065934</v>
      </c>
      <c r="L516" s="9">
        <f t="shared" si="479"/>
        <v>5.886565079365081E-2</v>
      </c>
      <c r="M516" s="2">
        <f t="shared" si="480"/>
        <v>2000.6090248524981</v>
      </c>
      <c r="N516" s="16">
        <f t="shared" si="490"/>
        <v>15.360934065933998</v>
      </c>
    </row>
    <row r="517" spans="1:14" ht="17">
      <c r="A517" s="1" t="s">
        <v>510</v>
      </c>
      <c r="B517" s="6">
        <f t="shared" ref="B517" si="492">C517/12.01%</f>
        <v>46040.506875022649</v>
      </c>
      <c r="C517" s="2">
        <v>5529.4648756902197</v>
      </c>
      <c r="D517" s="9">
        <v>9.1479682539682597E-2</v>
      </c>
      <c r="E517" s="2">
        <f t="shared" si="488"/>
        <v>5059.3485818075505</v>
      </c>
      <c r="F517" s="9">
        <v>2.1252E-2</v>
      </c>
      <c r="G517" s="2">
        <f t="shared" si="489"/>
        <v>-12246.557358178035</v>
      </c>
      <c r="H517" s="7">
        <f t="shared" si="478"/>
        <v>-2.4205798750879337</v>
      </c>
      <c r="I517" s="9">
        <v>2.1252E-2</v>
      </c>
      <c r="J517" s="2">
        <v>-1752.64155486756</v>
      </c>
      <c r="K517" s="13">
        <v>15.3876923076923</v>
      </c>
      <c r="L517" s="9">
        <f t="shared" si="479"/>
        <v>5.9461793650793689E-2</v>
      </c>
      <c r="M517" s="2">
        <f t="shared" si="480"/>
        <v>5059.3485818075505</v>
      </c>
      <c r="N517" s="16">
        <f t="shared" si="490"/>
        <v>15.387692307692301</v>
      </c>
    </row>
    <row r="518" spans="1:14" ht="17">
      <c r="A518" s="1" t="s">
        <v>511</v>
      </c>
      <c r="B518" s="6">
        <f t="shared" ref="B518" si="493">C518/10.26%</f>
        <v>377140.96602244349</v>
      </c>
      <c r="C518" s="2">
        <v>38694.663113902701</v>
      </c>
      <c r="D518" s="9">
        <v>9.2396825396825394E-2</v>
      </c>
      <c r="E518" s="2">
        <f t="shared" si="488"/>
        <v>35821.974899853711</v>
      </c>
      <c r="F518" s="9">
        <v>2.2008000000000003E-2</v>
      </c>
      <c r="G518" s="2">
        <f t="shared" si="489"/>
        <v>-89827.57553227985</v>
      </c>
      <c r="H518" s="7">
        <f t="shared" si="478"/>
        <v>-2.50761092272014</v>
      </c>
      <c r="I518" s="9">
        <v>2.2008000000000003E-2</v>
      </c>
      <c r="J518" s="2">
        <v>-1756.3360853113199</v>
      </c>
      <c r="K518" s="13">
        <v>15.4144505494505</v>
      </c>
      <c r="L518" s="9">
        <f t="shared" si="479"/>
        <v>6.0057936507936505E-2</v>
      </c>
      <c r="M518" s="2">
        <f t="shared" si="480"/>
        <v>35821.974899853711</v>
      </c>
      <c r="N518" s="16">
        <f t="shared" si="490"/>
        <v>15.4144505494505</v>
      </c>
    </row>
    <row r="519" spans="1:14" ht="17">
      <c r="A519" s="1" t="s">
        <v>512</v>
      </c>
      <c r="B519" s="6">
        <f t="shared" ref="B519" si="494">C519/11.36%</f>
        <v>22515.865292684153</v>
      </c>
      <c r="C519" s="2">
        <v>2557.8022972489198</v>
      </c>
      <c r="D519" s="9">
        <v>9.3313968253968302E-2</v>
      </c>
      <c r="E519" s="2">
        <f t="shared" si="488"/>
        <v>2395.5667894697153</v>
      </c>
      <c r="F519" s="9">
        <v>2.3075911111111125E-2</v>
      </c>
      <c r="G519" s="2">
        <f t="shared" si="489"/>
        <v>-6300.9505039029127</v>
      </c>
      <c r="H519" s="7">
        <f t="shared" si="478"/>
        <v>-2.6302545734062779</v>
      </c>
      <c r="I519" s="9">
        <v>2.3075911111111125E-2</v>
      </c>
      <c r="J519" s="2">
        <v>-1760.0306157550699</v>
      </c>
      <c r="K519" s="13">
        <v>15.441208791208799</v>
      </c>
      <c r="L519" s="9">
        <f t="shared" si="479"/>
        <v>6.0654079365079397E-2</v>
      </c>
      <c r="M519" s="2">
        <f t="shared" si="480"/>
        <v>2395.5667894697153</v>
      </c>
      <c r="N519" s="16">
        <f t="shared" si="490"/>
        <v>15.441208791208801</v>
      </c>
    </row>
    <row r="520" spans="1:14" ht="17">
      <c r="A520" s="1" t="s">
        <v>513</v>
      </c>
      <c r="B520" s="6">
        <f t="shared" ref="B520" si="495">C520/9.31%</f>
        <v>242905.37064932007</v>
      </c>
      <c r="C520" s="2">
        <v>22614.490007451699</v>
      </c>
      <c r="D520" s="9">
        <v>8.7811111111111104E-2</v>
      </c>
      <c r="E520" s="2">
        <f t="shared" si="488"/>
        <v>19965.622944138744</v>
      </c>
      <c r="F520" s="9">
        <v>2.2459111111111107E-2</v>
      </c>
      <c r="G520" s="2">
        <f t="shared" si="489"/>
        <v>-51129.682736132621</v>
      </c>
      <c r="H520" s="7">
        <f t="shared" si="478"/>
        <v>-2.5608859227276266</v>
      </c>
      <c r="I520" s="9">
        <v>2.2459111111111107E-2</v>
      </c>
      <c r="J520" s="2">
        <v>-1763.7251461988301</v>
      </c>
      <c r="K520" s="13">
        <v>15.467967032967</v>
      </c>
      <c r="L520" s="9">
        <f t="shared" si="479"/>
        <v>5.7077222222222217E-2</v>
      </c>
      <c r="M520" s="2">
        <f t="shared" si="480"/>
        <v>19965.622944138744</v>
      </c>
      <c r="N520" s="16">
        <f t="shared" si="490"/>
        <v>15.467967032967</v>
      </c>
    </row>
    <row r="521" spans="1:14" ht="17">
      <c r="A521" s="1" t="s">
        <v>514</v>
      </c>
      <c r="B521" s="6">
        <f t="shared" ref="B521:B522" si="496">C521/12.1%</f>
        <v>35993.512671762313</v>
      </c>
      <c r="C521" s="2">
        <v>4355.2150332832398</v>
      </c>
      <c r="D521" s="9">
        <v>8.8728253968253998E-2</v>
      </c>
      <c r="E521" s="2">
        <f t="shared" si="488"/>
        <v>3891.9636475101825</v>
      </c>
      <c r="F521" s="9">
        <v>2.170791111111112E-2</v>
      </c>
      <c r="G521" s="2">
        <f t="shared" si="489"/>
        <v>-9637.0167734938441</v>
      </c>
      <c r="H521" s="7">
        <f t="shared" si="478"/>
        <v>-2.4761322680028015</v>
      </c>
      <c r="I521" s="9">
        <v>2.170791111111112E-2</v>
      </c>
      <c r="J521" s="2">
        <v>-1767.41967664258</v>
      </c>
      <c r="K521" s="13">
        <v>15.494725274725299</v>
      </c>
      <c r="L521" s="9">
        <f t="shared" si="479"/>
        <v>5.7673365079365102E-2</v>
      </c>
      <c r="M521" s="2">
        <f t="shared" si="480"/>
        <v>3891.9636475101825</v>
      </c>
      <c r="N521" s="16">
        <f t="shared" si="490"/>
        <v>15.494725274725299</v>
      </c>
    </row>
    <row r="522" spans="1:14" ht="17">
      <c r="A522" s="1" t="s">
        <v>515</v>
      </c>
      <c r="B522" s="6">
        <f t="shared" si="496"/>
        <v>36294.755368657439</v>
      </c>
      <c r="C522" s="2">
        <v>4391.6653996075502</v>
      </c>
      <c r="D522" s="9">
        <v>8.9645396825396795E-2</v>
      </c>
      <c r="E522" s="2">
        <f t="shared" si="488"/>
        <v>3971.9504545573041</v>
      </c>
      <c r="F522" s="9">
        <v>2.2048711111111133E-2</v>
      </c>
      <c r="G522" s="2">
        <f t="shared" si="489"/>
        <v>-9993.1031102946963</v>
      </c>
      <c r="H522" s="7">
        <f t="shared" si="478"/>
        <v>-2.5159183692306359</v>
      </c>
      <c r="I522" s="9">
        <v>2.2048711111111133E-2</v>
      </c>
      <c r="J522" s="2">
        <v>-1771.11420708634</v>
      </c>
      <c r="K522" s="13">
        <v>15.521483516483499</v>
      </c>
      <c r="L522" s="9">
        <f t="shared" si="479"/>
        <v>5.8269507936507918E-2</v>
      </c>
      <c r="M522" s="2">
        <f t="shared" si="480"/>
        <v>3971.9504545573041</v>
      </c>
      <c r="N522" s="16">
        <f t="shared" si="490"/>
        <v>15.521483516483501</v>
      </c>
    </row>
    <row r="523" spans="1:14" ht="17">
      <c r="A523" s="1" t="s">
        <v>516</v>
      </c>
      <c r="B523" s="6">
        <f t="shared" ref="B523" si="497">C523/11.09%</f>
        <v>231413.35961767269</v>
      </c>
      <c r="C523" s="2">
        <v>25663.741581599901</v>
      </c>
      <c r="D523" s="9">
        <v>9.0562539682539703E-2</v>
      </c>
      <c r="E523" s="2">
        <f t="shared" si="488"/>
        <v>23488.928619097187</v>
      </c>
      <c r="F523" s="9">
        <v>2.2389511111111118E-2</v>
      </c>
      <c r="G523" s="2">
        <f t="shared" si="489"/>
        <v>-60031.347514767804</v>
      </c>
      <c r="H523" s="7">
        <f t="shared" si="478"/>
        <v>-2.5557294880601988</v>
      </c>
      <c r="I523" s="9">
        <v>2.2389511111111118E-2</v>
      </c>
      <c r="J523" s="2">
        <v>-1774.8087375301</v>
      </c>
      <c r="K523" s="13">
        <v>15.5482417582417</v>
      </c>
      <c r="L523" s="9">
        <f t="shared" si="479"/>
        <v>5.886565079365081E-2</v>
      </c>
      <c r="M523" s="2">
        <f t="shared" si="480"/>
        <v>23488.928619097187</v>
      </c>
      <c r="N523" s="16">
        <f t="shared" si="490"/>
        <v>15.548241758241701</v>
      </c>
    </row>
    <row r="524" spans="1:14" ht="17">
      <c r="A524" s="1" t="s">
        <v>517</v>
      </c>
      <c r="B524" s="6">
        <f t="shared" ref="B524" si="498">C524/12.01%</f>
        <v>32839.182211671439</v>
      </c>
      <c r="C524" s="2">
        <v>3943.9857836217402</v>
      </c>
      <c r="D524" s="9">
        <v>9.1479682539682597E-2</v>
      </c>
      <c r="E524" s="2">
        <f t="shared" si="488"/>
        <v>3652.5940019864397</v>
      </c>
      <c r="F524" s="9">
        <v>2.4774311111111127E-2</v>
      </c>
      <c r="G524" s="2">
        <f t="shared" si="489"/>
        <v>-10333.075458684023</v>
      </c>
      <c r="H524" s="7">
        <f t="shared" si="478"/>
        <v>-2.8289690704919428</v>
      </c>
      <c r="I524" s="9">
        <v>2.4774311111111127E-2</v>
      </c>
      <c r="J524" s="2">
        <v>-1778.5032679738499</v>
      </c>
      <c r="K524" s="13">
        <v>15.574999999999999</v>
      </c>
      <c r="L524" s="9">
        <f t="shared" si="479"/>
        <v>5.9461793650793689E-2</v>
      </c>
      <c r="M524" s="2">
        <f t="shared" si="480"/>
        <v>3652.5940019864397</v>
      </c>
      <c r="N524" s="16">
        <f t="shared" si="490"/>
        <v>15.574999999999998</v>
      </c>
    </row>
    <row r="525" spans="1:14" ht="17">
      <c r="A525" s="1" t="s">
        <v>518</v>
      </c>
      <c r="B525" s="6">
        <f t="shared" ref="B525" si="499">C525/10.26%</f>
        <v>58115.489806155558</v>
      </c>
      <c r="C525" s="2">
        <v>5962.6492541115604</v>
      </c>
      <c r="D525" s="9">
        <v>9.2396825396825394E-2</v>
      </c>
      <c r="E525" s="2">
        <f t="shared" si="488"/>
        <v>5587.0584351594462</v>
      </c>
      <c r="F525" s="9">
        <v>2.3295111111111114E-2</v>
      </c>
      <c r="G525" s="2">
        <f t="shared" si="489"/>
        <v>-14867.240224239467</v>
      </c>
      <c r="H525" s="7">
        <f t="shared" si="478"/>
        <v>-2.6610139122010414</v>
      </c>
      <c r="I525" s="9">
        <v>2.3295111111111114E-2</v>
      </c>
      <c r="J525" s="2">
        <v>-1782.1977984176101</v>
      </c>
      <c r="K525" s="13">
        <v>15.601758241758199</v>
      </c>
      <c r="L525" s="9">
        <f t="shared" si="479"/>
        <v>6.0057936507936505E-2</v>
      </c>
      <c r="M525" s="2">
        <f t="shared" si="480"/>
        <v>5587.0584351594462</v>
      </c>
      <c r="N525" s="16">
        <f t="shared" si="490"/>
        <v>15.601758241758203</v>
      </c>
    </row>
    <row r="526" spans="1:14" ht="17">
      <c r="A526" s="1" t="s">
        <v>519</v>
      </c>
      <c r="B526" s="6">
        <f t="shared" ref="B526" si="500">C526/11.36%</f>
        <v>91469.58324563205</v>
      </c>
      <c r="C526" s="2">
        <v>10390.944656703799</v>
      </c>
      <c r="D526" s="9">
        <v>9.3313968253968302E-2</v>
      </c>
      <c r="E526" s="2">
        <f t="shared" si="488"/>
        <v>9849.9222418918835</v>
      </c>
      <c r="F526" s="9">
        <v>2.3383911111111128E-2</v>
      </c>
      <c r="G526" s="2">
        <f t="shared" si="489"/>
        <v>-26320.09607350166</v>
      </c>
      <c r="H526" s="7">
        <f t="shared" si="478"/>
        <v>-2.6721120661807718</v>
      </c>
      <c r="I526" s="9">
        <v>2.3383911111111128E-2</v>
      </c>
      <c r="J526" s="2">
        <v>-1785.8923288613701</v>
      </c>
      <c r="K526" s="13">
        <v>15.628516483516499</v>
      </c>
      <c r="L526" s="9">
        <f t="shared" si="479"/>
        <v>6.0654079365079397E-2</v>
      </c>
      <c r="M526" s="2">
        <f t="shared" si="480"/>
        <v>9849.9222418918835</v>
      </c>
      <c r="N526" s="16">
        <f t="shared" si="490"/>
        <v>15.628516483516499</v>
      </c>
    </row>
    <row r="527" spans="1:14" ht="17">
      <c r="A527" s="1" t="s">
        <v>520</v>
      </c>
      <c r="B527" s="6">
        <f t="shared" ref="B527" si="501">C527/9.31%</f>
        <v>75175.752366840708</v>
      </c>
      <c r="C527" s="2">
        <v>6998.8625453528703</v>
      </c>
      <c r="D527" s="9">
        <v>9.4231111111111196E-2</v>
      </c>
      <c r="E527" s="2">
        <f t="shared" si="488"/>
        <v>6711.1326982984219</v>
      </c>
      <c r="F527" s="9">
        <v>2.3948711111111139E-2</v>
      </c>
      <c r="G527" s="2">
        <f t="shared" si="489"/>
        <v>-18372.576327026709</v>
      </c>
      <c r="H527" s="7">
        <f t="shared" si="478"/>
        <v>-2.7376267394749911</v>
      </c>
      <c r="I527" s="9">
        <v>2.3948711111111139E-2</v>
      </c>
      <c r="J527" s="2">
        <v>-1789.58685930512</v>
      </c>
      <c r="K527" s="13">
        <v>15.655274725274699</v>
      </c>
      <c r="L527" s="9">
        <f t="shared" si="479"/>
        <v>6.1250222222222282E-2</v>
      </c>
      <c r="M527" s="2">
        <f t="shared" si="480"/>
        <v>6711.1326982984219</v>
      </c>
      <c r="N527" s="16">
        <f t="shared" si="490"/>
        <v>15.655274725274701</v>
      </c>
    </row>
    <row r="528" spans="1:14" ht="17">
      <c r="A528" s="1" t="s">
        <v>521</v>
      </c>
      <c r="B528" s="6">
        <f t="shared" ref="B528:B529" si="502">C528/12.1%</f>
        <v>54145.731909944298</v>
      </c>
      <c r="C528" s="2">
        <v>6551.63356110326</v>
      </c>
      <c r="D528" s="9">
        <v>9.5148253968254007E-2</v>
      </c>
      <c r="E528" s="2">
        <f t="shared" si="488"/>
        <v>6354.2769741416951</v>
      </c>
      <c r="F528" s="9">
        <v>2.3897511111111124E-2</v>
      </c>
      <c r="G528" s="2">
        <f t="shared" si="489"/>
        <v>-17364.604349171394</v>
      </c>
      <c r="H528" s="7">
        <f t="shared" si="478"/>
        <v>-2.7327427526114283</v>
      </c>
      <c r="I528" s="9">
        <v>2.3897511111111124E-2</v>
      </c>
      <c r="J528" s="2">
        <v>-1793.28138974888</v>
      </c>
      <c r="K528" s="13">
        <v>15.6820329670329</v>
      </c>
      <c r="L528" s="9">
        <f t="shared" si="479"/>
        <v>6.1846365079365105E-2</v>
      </c>
      <c r="M528" s="2">
        <f t="shared" si="480"/>
        <v>6354.2769741416951</v>
      </c>
      <c r="N528" s="16">
        <f t="shared" si="490"/>
        <v>15.682032967032901</v>
      </c>
    </row>
    <row r="529" spans="1:14" ht="17">
      <c r="A529" s="1" t="s">
        <v>522</v>
      </c>
      <c r="B529" s="6">
        <f t="shared" si="502"/>
        <v>46497.422907212065</v>
      </c>
      <c r="C529" s="2">
        <v>5626.1881717726601</v>
      </c>
      <c r="D529" s="9">
        <v>9.6065396825396901E-2</v>
      </c>
      <c r="E529" s="2">
        <f t="shared" si="488"/>
        <v>5518.7072717883966</v>
      </c>
      <c r="F529" s="9">
        <v>2.4770311111111137E-2</v>
      </c>
      <c r="G529" s="2">
        <f t="shared" si="489"/>
        <v>-15637.535544964026</v>
      </c>
      <c r="H529" s="7">
        <f t="shared" si="478"/>
        <v>-2.8335504629685704</v>
      </c>
      <c r="I529" s="9">
        <v>2.4770311111111137E-2</v>
      </c>
      <c r="J529" s="2">
        <v>-1796.9759201926399</v>
      </c>
      <c r="K529" s="13">
        <v>15.708791208791199</v>
      </c>
      <c r="L529" s="9">
        <f t="shared" si="479"/>
        <v>6.244250793650799E-2</v>
      </c>
      <c r="M529" s="2">
        <f t="shared" si="480"/>
        <v>5518.7072717883966</v>
      </c>
      <c r="N529" s="16">
        <f t="shared" si="490"/>
        <v>15.708791208791197</v>
      </c>
    </row>
    <row r="530" spans="1:14" ht="17">
      <c r="A530" s="1" t="s">
        <v>523</v>
      </c>
      <c r="B530" s="6">
        <f t="shared" ref="B530" si="503">C530/11.09%</f>
        <v>229343.464405312</v>
      </c>
      <c r="C530" s="2">
        <v>25434.1902025491</v>
      </c>
      <c r="D530" s="9">
        <v>6.8777142857142898E-2</v>
      </c>
      <c r="E530" s="2">
        <f t="shared" si="488"/>
        <v>17891.935086920872</v>
      </c>
      <c r="F530" s="9">
        <v>1.6121600000000014E-2</v>
      </c>
      <c r="G530" s="2">
        <f t="shared" si="489"/>
        <v>-33007.891342327624</v>
      </c>
      <c r="H530" s="7">
        <f t="shared" si="478"/>
        <v>-1.8448474791559366</v>
      </c>
      <c r="I530" s="9">
        <v>1.6121600000000014E-2</v>
      </c>
      <c r="J530" s="2">
        <v>-1800.6704506363899</v>
      </c>
      <c r="K530" s="13">
        <v>15.735549450549399</v>
      </c>
      <c r="L530" s="9">
        <f t="shared" si="479"/>
        <v>4.4705142857142888E-2</v>
      </c>
      <c r="M530" s="2">
        <f t="shared" si="480"/>
        <v>17891.935086920872</v>
      </c>
      <c r="N530" s="16">
        <f t="shared" si="490"/>
        <v>15.735549450549401</v>
      </c>
    </row>
    <row r="531" spans="1:14" ht="17">
      <c r="A531" s="1" t="s">
        <v>524</v>
      </c>
      <c r="B531" s="6">
        <f t="shared" ref="B531" si="504">C531/12.01%</f>
        <v>42587.202941462361</v>
      </c>
      <c r="C531" s="2">
        <v>5114.7230732696298</v>
      </c>
      <c r="D531" s="9">
        <v>6.9602857142857105E-2</v>
      </c>
      <c r="E531" s="2">
        <f t="shared" si="488"/>
        <v>3647.3912317618551</v>
      </c>
      <c r="F531" s="9">
        <v>2.3159911111111126E-2</v>
      </c>
      <c r="G531" s="2">
        <f t="shared" si="489"/>
        <v>-9669.9410536704072</v>
      </c>
      <c r="H531" s="7">
        <f t="shared" si="478"/>
        <v>-2.6511938092803353</v>
      </c>
      <c r="I531" s="9">
        <v>2.3159911111111126E-2</v>
      </c>
      <c r="J531" s="2">
        <v>-1804.3649810801501</v>
      </c>
      <c r="K531" s="13">
        <v>15.762307692307701</v>
      </c>
      <c r="L531" s="9">
        <f t="shared" si="479"/>
        <v>4.5241857142857118E-2</v>
      </c>
      <c r="M531" s="2">
        <f t="shared" si="480"/>
        <v>3647.3912317618551</v>
      </c>
      <c r="N531" s="16">
        <f t="shared" si="490"/>
        <v>15.762307692307699</v>
      </c>
    </row>
    <row r="532" spans="1:14" ht="17">
      <c r="A532" s="1" t="s">
        <v>525</v>
      </c>
      <c r="B532" s="6">
        <f t="shared" ref="B532" si="505">C532/10.26%</f>
        <v>308651.71375185868</v>
      </c>
      <c r="C532" s="2">
        <v>31667.665830940699</v>
      </c>
      <c r="D532" s="9">
        <v>7.0428571428571396E-2</v>
      </c>
      <c r="E532" s="2">
        <f t="shared" si="488"/>
        <v>22889.416814166067</v>
      </c>
      <c r="F532" s="9">
        <v>2.5544711111111135E-2</v>
      </c>
      <c r="G532" s="2">
        <f t="shared" si="489"/>
        <v>-66956.386233928992</v>
      </c>
      <c r="H532" s="7">
        <f t="shared" si="478"/>
        <v>-2.9252115411035833</v>
      </c>
      <c r="I532" s="9">
        <v>2.5544711111111135E-2</v>
      </c>
      <c r="J532" s="2">
        <v>-1808.05951152391</v>
      </c>
      <c r="K532" s="13">
        <v>15.789065934065899</v>
      </c>
      <c r="L532" s="9">
        <f t="shared" si="479"/>
        <v>4.5778571428571412E-2</v>
      </c>
      <c r="M532" s="2">
        <f t="shared" si="480"/>
        <v>22889.416814166067</v>
      </c>
      <c r="N532" s="16">
        <f t="shared" si="490"/>
        <v>15.789065934065901</v>
      </c>
    </row>
    <row r="533" spans="1:14" ht="17">
      <c r="A533" s="1" t="s">
        <v>526</v>
      </c>
      <c r="B533" s="6">
        <f t="shared" ref="B533" si="506">C533/11.36%</f>
        <v>85616.054384033807</v>
      </c>
      <c r="C533" s="2">
        <v>9725.9837780262405</v>
      </c>
      <c r="D533" s="9">
        <v>5.4399999999999997E-2</v>
      </c>
      <c r="E533" s="2">
        <f t="shared" si="488"/>
        <v>5439.2325297296147</v>
      </c>
      <c r="F533" s="9">
        <v>2.4065511111111122E-2</v>
      </c>
      <c r="G533" s="2">
        <f t="shared" si="489"/>
        <v>-14994.780953919557</v>
      </c>
      <c r="H533" s="7">
        <f t="shared" si="478"/>
        <v>-2.7567824820802338</v>
      </c>
      <c r="I533" s="9">
        <v>2.4065511111111122E-2</v>
      </c>
      <c r="J533" s="2">
        <v>-1811.75404196766</v>
      </c>
      <c r="K533" s="13">
        <v>15.815824175824201</v>
      </c>
      <c r="L533" s="9">
        <f t="shared" si="479"/>
        <v>3.5360000000000003E-2</v>
      </c>
      <c r="M533" s="2">
        <f t="shared" si="480"/>
        <v>5439.2325297296147</v>
      </c>
      <c r="N533" s="16">
        <f t="shared" si="490"/>
        <v>15.815824175824199</v>
      </c>
    </row>
    <row r="534" spans="1:14" ht="17">
      <c r="A534" s="1" t="s">
        <v>527</v>
      </c>
      <c r="B534" s="6">
        <f t="shared" ref="B534" si="507">C534/9.31%</f>
        <v>40877.634143081312</v>
      </c>
      <c r="C534" s="2">
        <v>3805.7077387208701</v>
      </c>
      <c r="D534" s="9">
        <v>6.0859999999999997E-2</v>
      </c>
      <c r="E534" s="2">
        <f t="shared" si="488"/>
        <v>2385.10066313467</v>
      </c>
      <c r="F534" s="9">
        <v>2.4154311111111135E-2</v>
      </c>
      <c r="G534" s="2">
        <f t="shared" si="489"/>
        <v>-6601.7541122448392</v>
      </c>
      <c r="H534" s="7">
        <f t="shared" si="478"/>
        <v>-2.7679142496100528</v>
      </c>
      <c r="I534" s="9">
        <v>2.4154311111111135E-2</v>
      </c>
      <c r="J534" s="2">
        <v>-1815.4485724114199</v>
      </c>
      <c r="K534" s="13">
        <v>15.842582417582401</v>
      </c>
      <c r="L534" s="9">
        <f t="shared" si="479"/>
        <v>3.9558999999999997E-2</v>
      </c>
      <c r="M534" s="2">
        <f t="shared" si="480"/>
        <v>2385.10066313467</v>
      </c>
      <c r="N534" s="16">
        <f t="shared" si="490"/>
        <v>15.842582417582403</v>
      </c>
    </row>
    <row r="535" spans="1:14" ht="17">
      <c r="A535" s="1" t="s">
        <v>528</v>
      </c>
      <c r="B535" s="6">
        <f t="shared" ref="B535:B536" si="508">C535/12.1%</f>
        <v>83225.587731042979</v>
      </c>
      <c r="C535" s="2">
        <v>10070.2961154562</v>
      </c>
      <c r="D535" s="9">
        <v>6.0277142857142897E-2</v>
      </c>
      <c r="E535" s="2">
        <f t="shared" si="488"/>
        <v>6261.3378668465066</v>
      </c>
      <c r="F535" s="9">
        <v>1.4604800000000001E-2</v>
      </c>
      <c r="G535" s="2">
        <f t="shared" si="489"/>
        <v>-10482.641525808529</v>
      </c>
      <c r="H535" s="7">
        <f t="shared" si="478"/>
        <v>-1.6741855732324604</v>
      </c>
      <c r="I535" s="9">
        <v>1.4604800000000001E-2</v>
      </c>
      <c r="J535" s="2">
        <v>-1819.1431028551799</v>
      </c>
      <c r="K535" s="13">
        <v>15.869340659340599</v>
      </c>
      <c r="L535" s="9">
        <f t="shared" si="479"/>
        <v>3.9180142857142886E-2</v>
      </c>
      <c r="M535" s="2">
        <f t="shared" si="480"/>
        <v>6261.3378668465066</v>
      </c>
      <c r="N535" s="16">
        <f t="shared" si="490"/>
        <v>15.869340659340599</v>
      </c>
    </row>
    <row r="536" spans="1:14" ht="17">
      <c r="A536" s="1" t="s">
        <v>529</v>
      </c>
      <c r="B536" s="6">
        <f t="shared" si="508"/>
        <v>55710.76097590752</v>
      </c>
      <c r="C536" s="2">
        <v>6741.0020780848099</v>
      </c>
      <c r="D536" s="9">
        <v>5.96942857142857E-2</v>
      </c>
      <c r="E536" s="2">
        <f t="shared" si="488"/>
        <v>4157.7764376907217</v>
      </c>
      <c r="F536" s="9">
        <v>1.4133600000000014E-2</v>
      </c>
      <c r="G536" s="2">
        <f t="shared" si="489"/>
        <v>-6738.6261012136674</v>
      </c>
      <c r="H536" s="7">
        <f t="shared" si="478"/>
        <v>-1.6207283393419729</v>
      </c>
      <c r="I536" s="9">
        <v>1.4133600000000014E-2</v>
      </c>
      <c r="J536" s="2">
        <v>-1822.8376332989301</v>
      </c>
      <c r="K536" s="13">
        <v>15.896098901098901</v>
      </c>
      <c r="L536" s="9">
        <f t="shared" si="479"/>
        <v>3.8801285714285705E-2</v>
      </c>
      <c r="M536" s="2">
        <f t="shared" si="480"/>
        <v>4157.7764376907217</v>
      </c>
      <c r="N536" s="16">
        <f t="shared" si="490"/>
        <v>15.896098901098902</v>
      </c>
    </row>
    <row r="537" spans="1:14" ht="17">
      <c r="A537" s="1" t="s">
        <v>530</v>
      </c>
      <c r="B537" s="6">
        <f t="shared" ref="B537" si="509">C537/11.09%</f>
        <v>68174.508402396488</v>
      </c>
      <c r="C537" s="2">
        <v>7560.5529818257701</v>
      </c>
      <c r="D537" s="9">
        <v>5.9111428571428599E-2</v>
      </c>
      <c r="E537" s="2">
        <f t="shared" si="488"/>
        <v>4625.50731108543</v>
      </c>
      <c r="F537" s="9">
        <v>2.1252E-2</v>
      </c>
      <c r="G537" s="2">
        <f t="shared" si="489"/>
        <v>-11276.270995714209</v>
      </c>
      <c r="H537" s="7">
        <f t="shared" si="478"/>
        <v>-2.4378452431995181</v>
      </c>
      <c r="I537" s="9">
        <v>2.1252E-2</v>
      </c>
      <c r="J537" s="2">
        <v>-1826.53216374269</v>
      </c>
      <c r="K537" s="13">
        <v>15.922857142857101</v>
      </c>
      <c r="L537" s="9">
        <f t="shared" si="479"/>
        <v>3.8422428571428593E-2</v>
      </c>
      <c r="M537" s="2">
        <f t="shared" si="480"/>
        <v>4625.50731108543</v>
      </c>
      <c r="N537" s="16">
        <f t="shared" si="490"/>
        <v>15.922857142857099</v>
      </c>
    </row>
    <row r="538" spans="1:14" ht="17">
      <c r="A538" s="1" t="s">
        <v>531</v>
      </c>
      <c r="B538" s="6">
        <f t="shared" ref="B538" si="510">C538/12.01%</f>
        <v>195476.73574869527</v>
      </c>
      <c r="C538" s="2">
        <v>23476.755963418302</v>
      </c>
      <c r="D538" s="9">
        <v>7.3499999999999996E-2</v>
      </c>
      <c r="E538" s="2">
        <f t="shared" si="488"/>
        <v>17889.120772238522</v>
      </c>
      <c r="F538" s="9">
        <v>2.2008000000000003E-2</v>
      </c>
      <c r="G538" s="2">
        <f t="shared" si="489"/>
        <v>-45177.713192338044</v>
      </c>
      <c r="H538" s="7">
        <f t="shared" si="478"/>
        <v>-2.5254294924570972</v>
      </c>
      <c r="I538" s="9">
        <v>2.2008000000000003E-2</v>
      </c>
      <c r="J538" s="2">
        <v>-1830.22669418644</v>
      </c>
      <c r="K538" s="13">
        <v>15.949615384615401</v>
      </c>
      <c r="L538" s="9">
        <f t="shared" si="479"/>
        <v>4.7774999999999998E-2</v>
      </c>
      <c r="M538" s="2">
        <f t="shared" si="480"/>
        <v>17889.120772238522</v>
      </c>
      <c r="N538" s="16">
        <f t="shared" si="490"/>
        <v>15.949615384615401</v>
      </c>
    </row>
    <row r="539" spans="1:14" ht="17">
      <c r="A539" s="1" t="s">
        <v>532</v>
      </c>
      <c r="B539" s="6">
        <f t="shared" ref="B539" si="511">C539/10.26%</f>
        <v>266446.0081280283</v>
      </c>
      <c r="C539" s="2">
        <v>27337.360433935701</v>
      </c>
      <c r="D539" s="9">
        <v>7.9799999999999996E-2</v>
      </c>
      <c r="E539" s="2">
        <f t="shared" si="488"/>
        <v>22654.320236120093</v>
      </c>
      <c r="F539" s="9">
        <v>1.9207999999999999E-2</v>
      </c>
      <c r="G539" s="2">
        <f t="shared" si="489"/>
        <v>-49950.018184079796</v>
      </c>
      <c r="H539" s="7">
        <f t="shared" si="478"/>
        <v>-2.2048782600167973</v>
      </c>
      <c r="I539" s="9">
        <v>1.9207999999999999E-2</v>
      </c>
      <c r="J539" s="2">
        <v>-1833.9212246302</v>
      </c>
      <c r="K539" s="13">
        <v>15.976373626373601</v>
      </c>
      <c r="L539" s="9">
        <f t="shared" si="479"/>
        <v>5.1869999999999999E-2</v>
      </c>
      <c r="M539" s="2">
        <f t="shared" si="480"/>
        <v>22654.320236120093</v>
      </c>
      <c r="N539" s="16">
        <f t="shared" si="490"/>
        <v>15.976373626373602</v>
      </c>
    </row>
    <row r="540" spans="1:14" ht="17">
      <c r="A540" s="1" t="s">
        <v>533</v>
      </c>
      <c r="B540" s="6">
        <f t="shared" ref="B540" si="512">C540/11.36%</f>
        <v>264699.75769699382</v>
      </c>
      <c r="C540" s="2">
        <v>30069.892474378499</v>
      </c>
      <c r="D540" s="9">
        <v>6.8699999999999997E-2</v>
      </c>
      <c r="E540" s="2">
        <f t="shared" si="488"/>
        <v>21488.542156948872</v>
      </c>
      <c r="F540" s="9">
        <v>1.6184E-2</v>
      </c>
      <c r="G540" s="2">
        <f t="shared" si="489"/>
        <v>-39933.975236297636</v>
      </c>
      <c r="H540" s="7">
        <f t="shared" si="478"/>
        <v>-1.8583845727935508</v>
      </c>
      <c r="I540" s="9">
        <v>1.6184E-2</v>
      </c>
      <c r="J540" s="2">
        <v>-1837.6157550739599</v>
      </c>
      <c r="K540" s="13">
        <v>16.003131868131799</v>
      </c>
      <c r="L540" s="9">
        <f t="shared" si="479"/>
        <v>4.4655E-2</v>
      </c>
      <c r="M540" s="2">
        <f t="shared" si="480"/>
        <v>21488.542156948872</v>
      </c>
      <c r="N540" s="16">
        <f t="shared" si="490"/>
        <v>16.003131868131796</v>
      </c>
    </row>
    <row r="541" spans="1:14" ht="17">
      <c r="A541" s="1" t="s">
        <v>534</v>
      </c>
      <c r="B541" s="6">
        <f t="shared" ref="B541" si="513">C541/9.31%</f>
        <v>62488.281329538666</v>
      </c>
      <c r="C541" s="2">
        <v>5817.6589917800502</v>
      </c>
      <c r="D541" s="9">
        <v>5.9900000000000002E-2</v>
      </c>
      <c r="E541" s="2">
        <f t="shared" si="488"/>
        <v>3630.9392708351038</v>
      </c>
      <c r="F541" s="9">
        <v>1.3804E-2</v>
      </c>
      <c r="G541" s="2">
        <f t="shared" si="489"/>
        <v>-5757.320012940675</v>
      </c>
      <c r="H541" s="7">
        <f t="shared" si="478"/>
        <v>-1.5856282860981343</v>
      </c>
      <c r="I541" s="9">
        <v>1.3804E-2</v>
      </c>
      <c r="J541" s="2">
        <v>-1841.3102855177101</v>
      </c>
      <c r="K541" s="13">
        <v>16.029890109890101</v>
      </c>
      <c r="L541" s="9">
        <f t="shared" si="479"/>
        <v>3.8935000000000004E-2</v>
      </c>
      <c r="M541" s="2">
        <f t="shared" si="480"/>
        <v>3630.9392708351038</v>
      </c>
      <c r="N541" s="16">
        <f t="shared" si="490"/>
        <v>16.029890109890097</v>
      </c>
    </row>
    <row r="542" spans="1:14" ht="17">
      <c r="A542" s="1" t="s">
        <v>535</v>
      </c>
      <c r="B542" s="6">
        <f t="shared" ref="B542:B543" si="514">C542/12.1%</f>
        <v>45491.891838723881</v>
      </c>
      <c r="C542" s="2">
        <v>5504.5189124855897</v>
      </c>
      <c r="D542" s="9">
        <v>8.1100000000000005E-2</v>
      </c>
      <c r="E542" s="2">
        <f t="shared" si="488"/>
        <v>4659.169124218276</v>
      </c>
      <c r="F542" s="9">
        <v>2.1868000000000002E-2</v>
      </c>
      <c r="G542" s="2">
        <f t="shared" si="489"/>
        <v>-11707.39168406102</v>
      </c>
      <c r="H542" s="7">
        <f t="shared" si="478"/>
        <v>-2.5127638366261942</v>
      </c>
      <c r="I542" s="9">
        <v>2.1868000000000002E-2</v>
      </c>
      <c r="J542" s="2">
        <v>-1845.0048159614701</v>
      </c>
      <c r="K542" s="13">
        <v>16.056648351648299</v>
      </c>
      <c r="L542" s="9">
        <f t="shared" si="479"/>
        <v>5.2715000000000005E-2</v>
      </c>
      <c r="M542" s="2">
        <f t="shared" si="480"/>
        <v>4659.169124218276</v>
      </c>
      <c r="N542" s="16">
        <f t="shared" si="490"/>
        <v>16.056648351648295</v>
      </c>
    </row>
    <row r="543" spans="1:14" ht="17">
      <c r="A543" s="1" t="s">
        <v>536</v>
      </c>
      <c r="B543" s="6">
        <f t="shared" si="514"/>
        <v>39964.215812794297</v>
      </c>
      <c r="C543" s="2">
        <v>4835.6701133481101</v>
      </c>
      <c r="D543" s="9">
        <v>5.4399999999999997E-2</v>
      </c>
      <c r="E543" s="2">
        <f t="shared" si="488"/>
        <v>2750.090357950121</v>
      </c>
      <c r="F543" s="9">
        <v>1.2656000000000001E-2</v>
      </c>
      <c r="G543" s="2">
        <f t="shared" si="489"/>
        <v>-4000.6602952000121</v>
      </c>
      <c r="H543" s="7">
        <f t="shared" si="478"/>
        <v>-1.4547377629373781</v>
      </c>
      <c r="I543" s="9">
        <v>1.2656000000000001E-2</v>
      </c>
      <c r="J543" s="2">
        <v>-1848.69934640523</v>
      </c>
      <c r="K543" s="13">
        <v>16.0834065934066</v>
      </c>
      <c r="L543" s="9">
        <f t="shared" si="479"/>
        <v>3.5360000000000003E-2</v>
      </c>
      <c r="M543" s="2">
        <f t="shared" si="480"/>
        <v>2750.090357950121</v>
      </c>
      <c r="N543" s="16">
        <f t="shared" si="490"/>
        <v>16.083406593406597</v>
      </c>
    </row>
    <row r="544" spans="1:14" ht="17">
      <c r="A544" s="1" t="s">
        <v>537</v>
      </c>
      <c r="B544" s="6">
        <f t="shared" ref="B544" si="515">C544/11.09%</f>
        <v>48961.129420490535</v>
      </c>
      <c r="C544" s="2">
        <v>5429.7892527324002</v>
      </c>
      <c r="D544" s="9">
        <v>8.0860000000000001E-2</v>
      </c>
      <c r="E544" s="2">
        <f t="shared" si="488"/>
        <v>4597.5880069835976</v>
      </c>
      <c r="F544" s="9">
        <v>1.9896800000000003E-2</v>
      </c>
      <c r="G544" s="2">
        <f t="shared" si="489"/>
        <v>-10518.326277500702</v>
      </c>
      <c r="H544" s="7">
        <f t="shared" si="478"/>
        <v>-2.2877922644490289</v>
      </c>
      <c r="I544" s="9">
        <v>1.9896800000000003E-2</v>
      </c>
      <c r="J544" s="2">
        <v>-1852.39387684898</v>
      </c>
      <c r="K544" s="13">
        <v>16.110164835164799</v>
      </c>
      <c r="L544" s="9">
        <f t="shared" si="479"/>
        <v>5.2559000000000002E-2</v>
      </c>
      <c r="M544" s="2">
        <f t="shared" si="480"/>
        <v>4597.5880069835976</v>
      </c>
      <c r="N544" s="16">
        <f t="shared" si="490"/>
        <v>16.110164835164795</v>
      </c>
    </row>
    <row r="545" spans="1:14" ht="17">
      <c r="A545" s="1" t="s">
        <v>538</v>
      </c>
      <c r="B545" s="6">
        <f t="shared" ref="B545" si="516">C545/12.01%</f>
        <v>81448.194951619313</v>
      </c>
      <c r="C545" s="2">
        <v>9781.9282136894799</v>
      </c>
      <c r="D545" s="9">
        <v>7.0277142857142899E-2</v>
      </c>
      <c r="E545" s="2">
        <f t="shared" si="488"/>
        <v>7210.6207425322091</v>
      </c>
      <c r="F545" s="9">
        <v>1.7241600000000013E-2</v>
      </c>
      <c r="G545" s="2">
        <f t="shared" si="489"/>
        <v>-14299.740239152847</v>
      </c>
      <c r="H545" s="7">
        <f t="shared" si="478"/>
        <v>-1.9831496829121951</v>
      </c>
      <c r="I545" s="9">
        <v>1.7241600000000013E-2</v>
      </c>
      <c r="J545" s="2">
        <v>-1856.0884072927399</v>
      </c>
      <c r="K545" s="13">
        <v>16.1369230769231</v>
      </c>
      <c r="L545" s="9">
        <f t="shared" si="479"/>
        <v>4.5680142857142884E-2</v>
      </c>
      <c r="M545" s="2">
        <f t="shared" si="480"/>
        <v>7210.6207425322091</v>
      </c>
      <c r="N545" s="16">
        <f t="shared" si="490"/>
        <v>16.1369230769231</v>
      </c>
    </row>
    <row r="546" spans="1:14" ht="17">
      <c r="A546" s="1" t="s">
        <v>539</v>
      </c>
      <c r="B546" s="6">
        <f t="shared" ref="B546" si="517">C546/10.26%</f>
        <v>377563.7348738148</v>
      </c>
      <c r="C546" s="2">
        <v>38738.039198053397</v>
      </c>
      <c r="D546" s="9">
        <v>8.9694285714285699E-2</v>
      </c>
      <c r="E546" s="2">
        <f t="shared" si="488"/>
        <v>36505.310434738072</v>
      </c>
      <c r="F546" s="9">
        <v>2.2370399999999995E-2</v>
      </c>
      <c r="G546" s="2">
        <f t="shared" si="489"/>
        <v>-93961.896814154912</v>
      </c>
      <c r="H546" s="7">
        <f t="shared" si="478"/>
        <v>-2.5739240591347432</v>
      </c>
      <c r="I546" s="9">
        <v>2.2370399999999995E-2</v>
      </c>
      <c r="J546" s="2">
        <v>-1859.7829377364999</v>
      </c>
      <c r="K546" s="13">
        <v>16.163681318681299</v>
      </c>
      <c r="L546" s="9">
        <f t="shared" si="479"/>
        <v>5.8301285714285708E-2</v>
      </c>
      <c r="M546" s="2">
        <f t="shared" si="480"/>
        <v>36505.310434738072</v>
      </c>
      <c r="N546" s="16">
        <f t="shared" si="490"/>
        <v>16.163681318681299</v>
      </c>
    </row>
    <row r="547" spans="1:14" ht="17">
      <c r="A547" s="1" t="s">
        <v>540</v>
      </c>
      <c r="B547" s="6">
        <f t="shared" ref="B547" si="518">C547/11.36%</f>
        <v>51365.351985715053</v>
      </c>
      <c r="C547" s="2">
        <v>5835.1039855772297</v>
      </c>
      <c r="D547" s="9">
        <v>7.7722539682539699E-2</v>
      </c>
      <c r="E547" s="2">
        <f t="shared" si="488"/>
        <v>4772.7378370042697</v>
      </c>
      <c r="F547" s="9">
        <v>1.9634311111111118E-2</v>
      </c>
      <c r="G547" s="2">
        <f t="shared" si="489"/>
        <v>-10785.710370845969</v>
      </c>
      <c r="H547" s="7">
        <f t="shared" si="478"/>
        <v>-2.2598581231974588</v>
      </c>
      <c r="I547" s="9">
        <v>1.9634311111111118E-2</v>
      </c>
      <c r="J547" s="2">
        <v>-1863.4774681802501</v>
      </c>
      <c r="K547" s="13">
        <v>16.190439560439501</v>
      </c>
      <c r="L547" s="9">
        <f t="shared" si="479"/>
        <v>5.0519650793650804E-2</v>
      </c>
      <c r="M547" s="2">
        <f t="shared" si="480"/>
        <v>4772.7378370042697</v>
      </c>
      <c r="N547" s="16">
        <f t="shared" si="490"/>
        <v>16.190439560439501</v>
      </c>
    </row>
    <row r="548" spans="1:14" ht="17">
      <c r="A548" s="1" t="s">
        <v>541</v>
      </c>
      <c r="B548" s="6">
        <f t="shared" ref="B548" si="519">C548/9.31%</f>
        <v>150286.31581647799</v>
      </c>
      <c r="C548" s="2">
        <v>13991.656002514101</v>
      </c>
      <c r="D548" s="9">
        <v>7.8639682539682607E-2</v>
      </c>
      <c r="E548" s="2">
        <f t="shared" si="488"/>
        <v>11598.452312411793</v>
      </c>
      <c r="F548" s="9">
        <v>1.8883111111111101E-2</v>
      </c>
      <c r="G548" s="2">
        <f t="shared" si="489"/>
        <v>-25216.342911460823</v>
      </c>
      <c r="H548" s="7">
        <f t="shared" si="478"/>
        <v>-2.1741127378241822</v>
      </c>
      <c r="I548" s="9">
        <v>1.8883111111111101E-2</v>
      </c>
      <c r="J548" s="2">
        <v>-1867.17199862401</v>
      </c>
      <c r="K548" s="13">
        <v>16.217197802197798</v>
      </c>
      <c r="L548" s="9">
        <f t="shared" si="479"/>
        <v>5.1115793650793696E-2</v>
      </c>
      <c r="M548" s="2">
        <f t="shared" si="480"/>
        <v>11598.452312411793</v>
      </c>
      <c r="N548" s="16">
        <f t="shared" si="490"/>
        <v>16.217197802197795</v>
      </c>
    </row>
    <row r="549" spans="1:14" ht="17">
      <c r="A549" s="1" t="s">
        <v>542</v>
      </c>
      <c r="B549" s="6">
        <f t="shared" ref="B549:B550" si="520">C549/12.1%</f>
        <v>148368.09514309998</v>
      </c>
      <c r="C549" s="2">
        <v>17952.539512315099</v>
      </c>
      <c r="D549" s="9">
        <v>7.9556825396825404E-2</v>
      </c>
      <c r="E549" s="2">
        <f t="shared" si="488"/>
        <v>15080.248509968069</v>
      </c>
      <c r="F549" s="9">
        <v>1.9223911111111113E-2</v>
      </c>
      <c r="G549" s="2">
        <f t="shared" si="489"/>
        <v>-33388.833598631565</v>
      </c>
      <c r="H549" s="7">
        <f t="shared" si="478"/>
        <v>-2.2140771471081191</v>
      </c>
      <c r="I549" s="9">
        <v>1.9223911111111113E-2</v>
      </c>
      <c r="J549" s="2">
        <v>-1870.86652906777</v>
      </c>
      <c r="K549" s="13">
        <v>16.243956043956</v>
      </c>
      <c r="L549" s="9">
        <f t="shared" si="479"/>
        <v>5.1711936507936512E-2</v>
      </c>
      <c r="M549" s="2">
        <f t="shared" si="480"/>
        <v>15080.248509968069</v>
      </c>
      <c r="N549" s="16">
        <f t="shared" si="490"/>
        <v>16.243956043956</v>
      </c>
    </row>
    <row r="550" spans="1:14" ht="17">
      <c r="A550" s="1" t="s">
        <v>543</v>
      </c>
      <c r="B550" s="6">
        <f t="shared" si="520"/>
        <v>39206.685062744546</v>
      </c>
      <c r="C550" s="2">
        <v>4744.00889259209</v>
      </c>
      <c r="D550" s="9">
        <v>8.0473968253968298E-2</v>
      </c>
      <c r="E550" s="2">
        <f t="shared" si="488"/>
        <v>4037.5776468819017</v>
      </c>
      <c r="F550" s="9">
        <v>1.9564711111111126E-2</v>
      </c>
      <c r="G550" s="2">
        <f t="shared" si="489"/>
        <v>-9100.9619605948883</v>
      </c>
      <c r="H550" s="7">
        <f t="shared" si="478"/>
        <v>-2.2540648766527833</v>
      </c>
      <c r="I550" s="9">
        <v>1.9564711111111126E-2</v>
      </c>
      <c r="J550" s="2">
        <v>-1874.5610595115199</v>
      </c>
      <c r="K550" s="13">
        <v>16.270714285714298</v>
      </c>
      <c r="L550" s="9">
        <f t="shared" si="479"/>
        <v>5.2308079365079398E-2</v>
      </c>
      <c r="M550" s="2">
        <f t="shared" si="480"/>
        <v>4037.5776468819017</v>
      </c>
      <c r="N550" s="16">
        <f t="shared" si="490"/>
        <v>16.270714285714298</v>
      </c>
    </row>
    <row r="551" spans="1:14" ht="17">
      <c r="A551" s="1" t="s">
        <v>544</v>
      </c>
      <c r="B551" s="6">
        <f t="shared" ref="B551" si="521">C551/11.09%</f>
        <v>153959.16840955368</v>
      </c>
      <c r="C551" s="2">
        <v>17074.071776619501</v>
      </c>
      <c r="D551" s="9">
        <v>8.1391111111111095E-2</v>
      </c>
      <c r="E551" s="2">
        <f t="shared" si="488"/>
        <v>14721.351904496214</v>
      </c>
      <c r="F551" s="9">
        <v>2.3159911111111126E-2</v>
      </c>
      <c r="G551" s="2">
        <f t="shared" si="489"/>
        <v>-39293.346228260685</v>
      </c>
      <c r="H551" s="7">
        <f t="shared" si="478"/>
        <v>-2.6691397966147159</v>
      </c>
      <c r="I551" s="9">
        <v>2.3159911111111126E-2</v>
      </c>
      <c r="J551" s="2">
        <v>-1878.2555899552799</v>
      </c>
      <c r="K551" s="13">
        <v>16.2974725274725</v>
      </c>
      <c r="L551" s="9">
        <f t="shared" si="479"/>
        <v>5.2904222222222214E-2</v>
      </c>
      <c r="M551" s="2">
        <f t="shared" si="480"/>
        <v>14721.351904496214</v>
      </c>
      <c r="N551" s="16">
        <f t="shared" si="490"/>
        <v>16.2974725274725</v>
      </c>
    </row>
    <row r="552" spans="1:14" ht="17">
      <c r="A552" s="1" t="s">
        <v>545</v>
      </c>
      <c r="B552" s="6">
        <f t="shared" ref="B552" si="522">C552/12.01%</f>
        <v>93750.009095270609</v>
      </c>
      <c r="C552" s="2">
        <v>11259.376092342</v>
      </c>
      <c r="D552" s="9">
        <v>8.2308253968254003E-2</v>
      </c>
      <c r="E552" s="2">
        <f t="shared" si="488"/>
        <v>9833.402072044817</v>
      </c>
      <c r="F552" s="9">
        <v>2.5544711111111135E-2</v>
      </c>
      <c r="G552" s="2">
        <f t="shared" si="489"/>
        <v>-28958.774272722283</v>
      </c>
      <c r="H552" s="7">
        <f t="shared" si="478"/>
        <v>-2.9449395092923747</v>
      </c>
      <c r="I552" s="9">
        <v>2.5544711111111135E-2</v>
      </c>
      <c r="J552" s="2">
        <v>-1881.9501203990301</v>
      </c>
      <c r="K552" s="13">
        <v>16.324230769230802</v>
      </c>
      <c r="L552" s="9">
        <f t="shared" si="479"/>
        <v>5.3500365079365106E-2</v>
      </c>
      <c r="M552" s="2">
        <f t="shared" si="480"/>
        <v>9833.402072044817</v>
      </c>
      <c r="N552" s="16">
        <f t="shared" si="490"/>
        <v>16.324230769230802</v>
      </c>
    </row>
    <row r="553" spans="1:14" ht="17">
      <c r="A553" s="1" t="s">
        <v>546</v>
      </c>
      <c r="B553" s="6">
        <f t="shared" ref="B553" si="523">C553/10.26%</f>
        <v>138550.43447055554</v>
      </c>
      <c r="C553" s="2">
        <v>14215.274576678999</v>
      </c>
      <c r="D553" s="9">
        <v>8.32253968253968E-2</v>
      </c>
      <c r="E553" s="2">
        <f t="shared" si="488"/>
        <v>12573.856819396819</v>
      </c>
      <c r="F553" s="9">
        <v>2.4065511111111122E-2</v>
      </c>
      <c r="G553" s="2">
        <f t="shared" si="489"/>
        <v>-34896.303648626235</v>
      </c>
      <c r="H553" s="7">
        <f t="shared" si="478"/>
        <v>-2.7753062683833112</v>
      </c>
      <c r="I553" s="9">
        <v>2.4065511111111122E-2</v>
      </c>
      <c r="J553" s="2">
        <v>-1885.64465084279</v>
      </c>
      <c r="K553" s="13">
        <v>16.350989010989</v>
      </c>
      <c r="L553" s="9">
        <f t="shared" si="479"/>
        <v>5.4096507936507922E-2</v>
      </c>
      <c r="M553" s="2">
        <f t="shared" si="480"/>
        <v>12573.856819396819</v>
      </c>
      <c r="N553" s="16">
        <f t="shared" si="490"/>
        <v>16.350989010989</v>
      </c>
    </row>
    <row r="554" spans="1:14" ht="17">
      <c r="A554" s="1" t="s">
        <v>547</v>
      </c>
      <c r="B554" s="6">
        <f t="shared" ref="B554" si="524">C554/11.36%</f>
        <v>76845.596206402552</v>
      </c>
      <c r="C554" s="2">
        <v>8729.6597290473292</v>
      </c>
      <c r="D554" s="9">
        <v>8.4142539682539694E-2</v>
      </c>
      <c r="E554" s="2">
        <f t="shared" si="488"/>
        <v>7819.526455361035</v>
      </c>
      <c r="F554" s="9">
        <v>2.4154311111111135E-2</v>
      </c>
      <c r="G554" s="2">
        <f t="shared" si="489"/>
        <v>-21788.677737160288</v>
      </c>
      <c r="H554" s="7">
        <f t="shared" si="478"/>
        <v>-2.7864446602418051</v>
      </c>
      <c r="I554" s="9">
        <v>2.4154311111111135E-2</v>
      </c>
      <c r="J554" s="2">
        <v>-1889.33918128655</v>
      </c>
      <c r="K554" s="13">
        <v>16.377747252747199</v>
      </c>
      <c r="L554" s="9">
        <f t="shared" si="479"/>
        <v>5.46926507936508E-2</v>
      </c>
      <c r="M554" s="2">
        <f t="shared" si="480"/>
        <v>7819.526455361035</v>
      </c>
      <c r="N554" s="16">
        <f t="shared" si="490"/>
        <v>16.377747252747199</v>
      </c>
    </row>
    <row r="555" spans="1:14" ht="17">
      <c r="A555" s="1" t="s">
        <v>548</v>
      </c>
      <c r="B555" s="6">
        <f t="shared" ref="B555" si="525">C555/9.31%</f>
        <v>258146.45379917399</v>
      </c>
      <c r="C555" s="2">
        <v>24033.434848703098</v>
      </c>
      <c r="D555" s="9">
        <v>8.5059682539682602E-2</v>
      </c>
      <c r="E555" s="2">
        <f t="shared" si="488"/>
        <v>21797.972578420973</v>
      </c>
      <c r="F555" s="9">
        <v>1.4604800000000001E-2</v>
      </c>
      <c r="G555" s="2">
        <f t="shared" si="489"/>
        <v>-36737.273435440089</v>
      </c>
      <c r="H555" s="7">
        <f t="shared" si="478"/>
        <v>-1.6853527686243794</v>
      </c>
      <c r="I555" s="9">
        <v>1.4604800000000001E-2</v>
      </c>
      <c r="J555" s="2">
        <v>-1893.0337117303</v>
      </c>
      <c r="K555" s="13">
        <v>16.4045054945055</v>
      </c>
      <c r="L555" s="9">
        <f t="shared" si="479"/>
        <v>5.5288793650793693E-2</v>
      </c>
      <c r="M555" s="2">
        <f t="shared" si="480"/>
        <v>21797.972578420973</v>
      </c>
      <c r="N555" s="16">
        <f t="shared" si="490"/>
        <v>16.4045054945055</v>
      </c>
    </row>
    <row r="556" spans="1:14" ht="17">
      <c r="A556" s="1" t="s">
        <v>549</v>
      </c>
      <c r="B556" s="6">
        <f t="shared" ref="B556:B557" si="526">C556/12.1%</f>
        <v>55147.836932270744</v>
      </c>
      <c r="C556" s="2">
        <v>6672.8882688047597</v>
      </c>
      <c r="D556" s="9">
        <v>8.5976825396825399E-2</v>
      </c>
      <c r="E556" s="2">
        <f t="shared" si="488"/>
        <v>6127.4472535005307</v>
      </c>
      <c r="F556" s="9">
        <v>1.4133600000000014E-2</v>
      </c>
      <c r="G556" s="2">
        <f t="shared" si="489"/>
        <v>-9996.9270235259864</v>
      </c>
      <c r="H556" s="7">
        <f t="shared" si="478"/>
        <v>-1.6314994825642721</v>
      </c>
      <c r="I556" s="9">
        <v>1.4133600000000014E-2</v>
      </c>
      <c r="J556" s="2">
        <v>-1896.7282421740599</v>
      </c>
      <c r="K556" s="13">
        <v>16.431263736263698</v>
      </c>
      <c r="L556" s="9">
        <f t="shared" si="479"/>
        <v>5.5884936507936508E-2</v>
      </c>
      <c r="M556" s="2">
        <f t="shared" si="480"/>
        <v>6127.4472535005307</v>
      </c>
      <c r="N556" s="16">
        <f t="shared" si="490"/>
        <v>16.431263736263702</v>
      </c>
    </row>
    <row r="557" spans="1:14" ht="17">
      <c r="A557" s="1" t="s">
        <v>550</v>
      </c>
      <c r="B557" s="6">
        <f t="shared" si="526"/>
        <v>57667.8723491786</v>
      </c>
      <c r="C557" s="2">
        <v>6977.8125542506104</v>
      </c>
      <c r="D557" s="9">
        <v>8.3500000000000005E-2</v>
      </c>
      <c r="E557" s="2">
        <f t="shared" si="488"/>
        <v>6232.9948612277194</v>
      </c>
      <c r="F557" s="9">
        <v>2.1252E-2</v>
      </c>
      <c r="G557" s="2">
        <f t="shared" si="489"/>
        <v>-15295.693202045752</v>
      </c>
      <c r="H557" s="7">
        <f t="shared" si="478"/>
        <v>-2.4539877767575993</v>
      </c>
      <c r="I557" s="9">
        <v>2.1252E-2</v>
      </c>
      <c r="J557" s="2">
        <v>-1900.4227726178201</v>
      </c>
      <c r="K557" s="13">
        <v>16.458021978022</v>
      </c>
      <c r="L557" s="9">
        <f t="shared" si="479"/>
        <v>5.4275000000000004E-2</v>
      </c>
      <c r="M557" s="2">
        <f t="shared" si="480"/>
        <v>6232.9948612277194</v>
      </c>
      <c r="N557" s="16">
        <f t="shared" si="490"/>
        <v>16.458021978022</v>
      </c>
    </row>
    <row r="558" spans="1:14" ht="17">
      <c r="A558" s="1" t="s">
        <v>551</v>
      </c>
      <c r="B558" s="6">
        <f t="shared" ref="B558" si="527">C558/11.09%</f>
        <v>39598.339772209736</v>
      </c>
      <c r="C558" s="2">
        <v>4391.4558807380599</v>
      </c>
      <c r="D558" s="9">
        <v>8.9800000000000005E-2</v>
      </c>
      <c r="E558" s="2">
        <f t="shared" si="488"/>
        <v>4225.5318407164023</v>
      </c>
      <c r="F558" s="9">
        <v>2.2008000000000003E-2</v>
      </c>
      <c r="G558" s="2">
        <f t="shared" si="489"/>
        <v>-10741.687019270859</v>
      </c>
      <c r="H558" s="7">
        <f t="shared" si="478"/>
        <v>-2.5420911317638302</v>
      </c>
      <c r="I558" s="9">
        <v>2.2008000000000003E-2</v>
      </c>
      <c r="J558" s="2">
        <v>-1904.1173030615701</v>
      </c>
      <c r="K558" s="13">
        <v>16.484780219780198</v>
      </c>
      <c r="L558" s="9">
        <f t="shared" si="479"/>
        <v>5.8370000000000005E-2</v>
      </c>
      <c r="M558" s="2">
        <f t="shared" si="480"/>
        <v>4225.5318407164023</v>
      </c>
      <c r="N558" s="16">
        <f t="shared" si="490"/>
        <v>16.484780219780195</v>
      </c>
    </row>
    <row r="559" spans="1:14" ht="17">
      <c r="A559" s="1" t="s">
        <v>552</v>
      </c>
      <c r="B559" s="6">
        <f t="shared" ref="B559" si="528">C559/12.01%</f>
        <v>150623.6321105104</v>
      </c>
      <c r="C559" s="2">
        <v>18089.898216472298</v>
      </c>
      <c r="D559" s="9">
        <v>8.8700000000000001E-2</v>
      </c>
      <c r="E559" s="2">
        <f t="shared" si="488"/>
        <v>17221.090152355166</v>
      </c>
      <c r="F559" s="9">
        <v>2.1868000000000002E-2</v>
      </c>
      <c r="G559" s="2">
        <f t="shared" si="489"/>
        <v>-43512.867396140318</v>
      </c>
      <c r="H559" s="7">
        <f t="shared" si="478"/>
        <v>-2.5267196798333624</v>
      </c>
      <c r="I559" s="9">
        <v>2.1868000000000002E-2</v>
      </c>
      <c r="J559" s="2">
        <v>-1907.81183350533</v>
      </c>
      <c r="K559" s="13">
        <v>16.5115384615384</v>
      </c>
      <c r="L559" s="9">
        <f t="shared" si="479"/>
        <v>5.7655000000000005E-2</v>
      </c>
      <c r="M559" s="2">
        <f t="shared" si="480"/>
        <v>17221.090152355166</v>
      </c>
      <c r="N559" s="16">
        <f t="shared" si="490"/>
        <v>16.5115384615384</v>
      </c>
    </row>
    <row r="560" spans="1:14" ht="17">
      <c r="A560" s="1" t="s">
        <v>553</v>
      </c>
      <c r="B560" s="6">
        <f t="shared" ref="B560" si="529">C560/10.26%</f>
        <v>45758.105079634413</v>
      </c>
      <c r="C560" s="2">
        <v>4694.7815811704904</v>
      </c>
      <c r="D560" s="9">
        <v>5.9900000000000002E-2</v>
      </c>
      <c r="E560" s="2">
        <f t="shared" si="488"/>
        <v>3023.0570992177036</v>
      </c>
      <c r="F560" s="9">
        <v>1.5932000000000002E-2</v>
      </c>
      <c r="G560" s="2">
        <f t="shared" si="489"/>
        <v>-5566.7487090935965</v>
      </c>
      <c r="H560" s="7">
        <f t="shared" si="478"/>
        <v>-1.8414302232445894</v>
      </c>
      <c r="I560" s="9">
        <v>1.5932000000000002E-2</v>
      </c>
      <c r="J560" s="2">
        <v>-1911.50636394909</v>
      </c>
      <c r="K560" s="13">
        <v>16.538296703296702</v>
      </c>
      <c r="L560" s="9">
        <f t="shared" si="479"/>
        <v>3.8935000000000004E-2</v>
      </c>
      <c r="M560" s="2">
        <f t="shared" si="480"/>
        <v>3023.0570992177036</v>
      </c>
      <c r="N560" s="16">
        <f t="shared" si="490"/>
        <v>16.538296703296702</v>
      </c>
    </row>
    <row r="561" spans="1:14" ht="17">
      <c r="A561" s="1" t="s">
        <v>554</v>
      </c>
      <c r="B561" s="6">
        <f t="shared" ref="B561" si="530">C561/11.36%</f>
        <v>116804.0860714023</v>
      </c>
      <c r="C561" s="2">
        <v>13268.944177711301</v>
      </c>
      <c r="D561" s="9">
        <v>8.1100000000000005E-2</v>
      </c>
      <c r="E561" s="2">
        <f t="shared" si="488"/>
        <v>11586.798611463166</v>
      </c>
      <c r="F561" s="9">
        <v>2.0132000000000004E-2</v>
      </c>
      <c r="G561" s="2">
        <f t="shared" si="489"/>
        <v>-26969.434207779119</v>
      </c>
      <c r="H561" s="7">
        <f t="shared" si="478"/>
        <v>-2.3276001518743454</v>
      </c>
      <c r="I561" s="9">
        <v>2.0132000000000004E-2</v>
      </c>
      <c r="J561" s="2">
        <v>-1915.2008943928399</v>
      </c>
      <c r="K561" s="13">
        <v>16.5650549450549</v>
      </c>
      <c r="L561" s="9">
        <f t="shared" si="479"/>
        <v>5.2715000000000005E-2</v>
      </c>
      <c r="M561" s="2">
        <f t="shared" si="480"/>
        <v>11586.798611463166</v>
      </c>
      <c r="N561" s="16">
        <f t="shared" si="490"/>
        <v>16.5650549450549</v>
      </c>
    </row>
    <row r="562" spans="1:14" ht="17">
      <c r="A562" s="1" t="s">
        <v>555</v>
      </c>
      <c r="B562" s="6">
        <f t="shared" ref="B562" si="531">C562/9.31%</f>
        <v>38592.469683953168</v>
      </c>
      <c r="C562" s="2">
        <v>3592.95892757604</v>
      </c>
      <c r="D562" s="9">
        <v>7.4399999999999994E-2</v>
      </c>
      <c r="E562" s="2">
        <f t="shared" si="488"/>
        <v>2882.9186922763738</v>
      </c>
      <c r="F562" s="9">
        <v>1.8088000000000003E-2</v>
      </c>
      <c r="G562" s="2">
        <f t="shared" si="489"/>
        <v>-6030.8760342523565</v>
      </c>
      <c r="H562" s="7">
        <f t="shared" si="478"/>
        <v>-2.0919341396653586</v>
      </c>
      <c r="I562" s="9">
        <v>1.8088000000000003E-2</v>
      </c>
      <c r="J562" s="2">
        <v>-1918.8954248365999</v>
      </c>
      <c r="K562" s="13">
        <v>16.591813186813201</v>
      </c>
      <c r="L562" s="9">
        <f t="shared" si="479"/>
        <v>4.836E-2</v>
      </c>
      <c r="M562" s="2">
        <f t="shared" si="480"/>
        <v>2882.9186922763738</v>
      </c>
      <c r="N562" s="16">
        <f t="shared" si="490"/>
        <v>16.591813186813201</v>
      </c>
    </row>
    <row r="563" spans="1:14" ht="17">
      <c r="A563" s="1" t="s">
        <v>556</v>
      </c>
      <c r="B563" s="6">
        <f t="shared" ref="B563:B564" si="532">C563/12.1%</f>
        <v>126125.03948165373</v>
      </c>
      <c r="C563" s="2">
        <v>15261.129777280101</v>
      </c>
      <c r="D563" s="9">
        <v>8.0860000000000001E-2</v>
      </c>
      <c r="E563" s="2">
        <f t="shared" si="488"/>
        <v>13329.917674774215</v>
      </c>
      <c r="F563" s="9">
        <v>2.0204800000000002E-2</v>
      </c>
      <c r="G563" s="2">
        <f t="shared" si="489"/>
        <v>-31158.389645675255</v>
      </c>
      <c r="H563" s="7">
        <f t="shared" si="478"/>
        <v>-2.3374780254374694</v>
      </c>
      <c r="I563" s="9">
        <v>2.0204800000000002E-2</v>
      </c>
      <c r="J563" s="2">
        <v>-1922.5899552803601</v>
      </c>
      <c r="K563" s="13">
        <v>16.6185714285714</v>
      </c>
      <c r="L563" s="9">
        <f t="shared" si="479"/>
        <v>5.2559000000000002E-2</v>
      </c>
      <c r="M563" s="2">
        <f t="shared" si="480"/>
        <v>13329.917674774215</v>
      </c>
      <c r="N563" s="16">
        <f t="shared" si="490"/>
        <v>16.6185714285714</v>
      </c>
    </row>
    <row r="564" spans="1:14" ht="17">
      <c r="A564" s="1" t="s">
        <v>557</v>
      </c>
      <c r="B564" s="6">
        <f t="shared" si="532"/>
        <v>23407.067187203967</v>
      </c>
      <c r="C564" s="2">
        <v>2832.2551296516799</v>
      </c>
      <c r="D564" s="9">
        <v>7.0277142857142899E-2</v>
      </c>
      <c r="E564" s="2">
        <f t="shared" si="488"/>
        <v>2153.5364481241395</v>
      </c>
      <c r="F564" s="9">
        <v>1.6933600000000014E-2</v>
      </c>
      <c r="G564" s="2">
        <f t="shared" si="489"/>
        <v>-4220.1661444098163</v>
      </c>
      <c r="H564" s="7">
        <f t="shared" si="478"/>
        <v>-1.9596446338699474</v>
      </c>
      <c r="I564" s="9">
        <v>1.6933600000000014E-2</v>
      </c>
      <c r="J564" s="2">
        <v>-1926.28448572411</v>
      </c>
      <c r="K564" s="13">
        <v>16.645329670329701</v>
      </c>
      <c r="L564" s="9">
        <f t="shared" si="479"/>
        <v>4.5680142857142884E-2</v>
      </c>
      <c r="M564" s="2">
        <f t="shared" si="480"/>
        <v>2153.5364481241395</v>
      </c>
      <c r="N564" s="16">
        <f t="shared" si="490"/>
        <v>16.645329670329698</v>
      </c>
    </row>
    <row r="565" spans="1:14" ht="17">
      <c r="A565" s="1" t="s">
        <v>558</v>
      </c>
      <c r="B565" s="6">
        <f t="shared" ref="B565" si="533">C565/11.09%</f>
        <v>16976.494828214247</v>
      </c>
      <c r="C565" s="2">
        <v>1882.69327644896</v>
      </c>
      <c r="D565" s="9">
        <v>8.9694285714285699E-2</v>
      </c>
      <c r="E565" s="2">
        <f t="shared" si="488"/>
        <v>1829.9856982493102</v>
      </c>
      <c r="F565" s="9">
        <v>2.2986400000000001E-2</v>
      </c>
      <c r="G565" s="2">
        <f t="shared" si="489"/>
        <v>-4869.4650261211282</v>
      </c>
      <c r="H565" s="7">
        <f t="shared" si="478"/>
        <v>-2.6609306459496334</v>
      </c>
      <c r="I565" s="9">
        <v>2.2986400000000001E-2</v>
      </c>
      <c r="J565" s="2">
        <v>-1929.97901616787</v>
      </c>
      <c r="K565" s="13">
        <v>16.6720879120879</v>
      </c>
      <c r="L565" s="9">
        <f t="shared" si="479"/>
        <v>5.8301285714285708E-2</v>
      </c>
      <c r="M565" s="2">
        <f t="shared" si="480"/>
        <v>1829.9856982493102</v>
      </c>
      <c r="N565" s="16">
        <f t="shared" si="490"/>
        <v>16.6720879120879</v>
      </c>
    </row>
    <row r="566" spans="1:14" ht="17">
      <c r="A566" s="1" t="s">
        <v>559</v>
      </c>
      <c r="B566" s="6">
        <f t="shared" ref="B566" si="534">C566/12.01%</f>
        <v>277547.09322106245</v>
      </c>
      <c r="C566" s="2">
        <v>33333.405895849603</v>
      </c>
      <c r="D566" s="9">
        <v>7.7722539682539699E-2</v>
      </c>
      <c r="E566" s="2">
        <f t="shared" si="488"/>
        <v>28120.723760154466</v>
      </c>
      <c r="F566" s="9">
        <v>1.8626311111111116E-2</v>
      </c>
      <c r="G566" s="2">
        <f t="shared" si="489"/>
        <v>-60652.686117177931</v>
      </c>
      <c r="H566" s="7">
        <f t="shared" si="478"/>
        <v>-2.1568678898343108</v>
      </c>
      <c r="I566" s="9">
        <v>1.8626311111111116E-2</v>
      </c>
      <c r="J566" s="2">
        <v>-1933.6735466116299</v>
      </c>
      <c r="K566" s="13">
        <v>16.698846153846102</v>
      </c>
      <c r="L566" s="9">
        <f t="shared" si="479"/>
        <v>5.0519650793650804E-2</v>
      </c>
      <c r="M566" s="2">
        <f t="shared" si="480"/>
        <v>28120.723760154466</v>
      </c>
      <c r="N566" s="16">
        <f t="shared" si="490"/>
        <v>16.698846153846102</v>
      </c>
    </row>
    <row r="567" spans="1:14" ht="17">
      <c r="A567" s="1" t="s">
        <v>560</v>
      </c>
      <c r="B567" s="6">
        <f t="shared" ref="B567" si="535">C567/10.26%</f>
        <v>69177.415138379147</v>
      </c>
      <c r="C567" s="2">
        <v>7097.6027931976996</v>
      </c>
      <c r="D567" s="9">
        <v>7.8639682539682607E-2</v>
      </c>
      <c r="E567" s="2">
        <f t="shared" si="488"/>
        <v>6068.0425810111246</v>
      </c>
      <c r="F567" s="9">
        <v>1.8967111111111101E-2</v>
      </c>
      <c r="G567" s="2">
        <f t="shared" si="489"/>
        <v>-13331.534074513113</v>
      </c>
      <c r="H567" s="7">
        <f t="shared" si="478"/>
        <v>-2.1970073374619701</v>
      </c>
      <c r="I567" s="9">
        <v>1.8967111111111101E-2</v>
      </c>
      <c r="J567" s="2">
        <v>-1937.3680770553799</v>
      </c>
      <c r="K567" s="13">
        <v>16.7256043956044</v>
      </c>
      <c r="L567" s="9">
        <f t="shared" si="479"/>
        <v>5.1115793650793696E-2</v>
      </c>
      <c r="M567" s="2">
        <f t="shared" si="480"/>
        <v>6068.0425810111246</v>
      </c>
      <c r="N567" s="16">
        <f t="shared" si="490"/>
        <v>16.7256043956044</v>
      </c>
    </row>
    <row r="568" spans="1:14" ht="17">
      <c r="A568" s="1" t="s">
        <v>561</v>
      </c>
      <c r="B568" s="6">
        <f t="shared" ref="B568" si="536">C568/11.36%</f>
        <v>327992.42122540408</v>
      </c>
      <c r="C568" s="2">
        <v>37259.939051205904</v>
      </c>
      <c r="D568" s="9">
        <v>7.9556825396825404E-2</v>
      </c>
      <c r="E568" s="2">
        <f t="shared" si="488"/>
        <v>32278.17763289679</v>
      </c>
      <c r="F568" s="9">
        <v>1.9307911111111114E-2</v>
      </c>
      <c r="G568" s="2">
        <f t="shared" si="489"/>
        <v>-72211.734364531992</v>
      </c>
      <c r="H568" s="7">
        <f t="shared" si="478"/>
        <v>-2.2371688756968831</v>
      </c>
      <c r="I568" s="9">
        <v>1.9307911111111114E-2</v>
      </c>
      <c r="J568" s="2">
        <v>-1941.0626074991401</v>
      </c>
      <c r="K568" s="13">
        <v>16.752362637362602</v>
      </c>
      <c r="L568" s="9">
        <f t="shared" si="479"/>
        <v>5.1711936507936512E-2</v>
      </c>
      <c r="M568" s="2">
        <f t="shared" si="480"/>
        <v>32278.17763289679</v>
      </c>
      <c r="N568" s="16">
        <f t="shared" si="490"/>
        <v>16.752362637362602</v>
      </c>
    </row>
    <row r="569" spans="1:14" ht="17">
      <c r="A569" s="1" t="s">
        <v>562</v>
      </c>
      <c r="B569" s="6">
        <f t="shared" ref="B569" si="537">C569/9.31%</f>
        <v>204757.10440788831</v>
      </c>
      <c r="C569" s="2">
        <v>19062.886420374401</v>
      </c>
      <c r="D569" s="9">
        <v>8.0473968253968298E-2</v>
      </c>
      <c r="E569" s="2">
        <f t="shared" si="488"/>
        <v>16731.182524789001</v>
      </c>
      <c r="F569" s="9">
        <v>2.1692711111111124E-2</v>
      </c>
      <c r="G569" s="2">
        <f t="shared" si="489"/>
        <v>-42066.525338435698</v>
      </c>
      <c r="H569" s="7">
        <f t="shared" si="478"/>
        <v>-2.5142589458999525</v>
      </c>
      <c r="I569" s="9">
        <v>2.1692711111111124E-2</v>
      </c>
      <c r="J569" s="2">
        <v>-1944.75713794289</v>
      </c>
      <c r="K569" s="13">
        <v>16.779120879120899</v>
      </c>
      <c r="L569" s="9">
        <f t="shared" si="479"/>
        <v>5.2308079365079398E-2</v>
      </c>
      <c r="M569" s="2">
        <f t="shared" si="480"/>
        <v>16731.182524789001</v>
      </c>
      <c r="N569" s="16">
        <f t="shared" si="490"/>
        <v>16.779120879120899</v>
      </c>
    </row>
    <row r="570" spans="1:14" ht="17">
      <c r="A570" s="1" t="s">
        <v>563</v>
      </c>
      <c r="B570" s="6">
        <f t="shared" ref="B570:B571" si="538">C570/12.1%</f>
        <v>207495.09991019586</v>
      </c>
      <c r="C570" s="2">
        <v>25106.9070891337</v>
      </c>
      <c r="D570" s="9">
        <v>8.1391111111111095E-2</v>
      </c>
      <c r="E570" s="2">
        <f t="shared" si="488"/>
        <v>22322.600394146775</v>
      </c>
      <c r="F570" s="9">
        <v>2.021351111111111E-2</v>
      </c>
      <c r="G570" s="2">
        <f t="shared" si="489"/>
        <v>-52313.640602591549</v>
      </c>
      <c r="H570" s="7">
        <f t="shared" ref="H570:H579" si="539">G570/E570</f>
        <v>-2.3435280692615339</v>
      </c>
      <c r="I570" s="9">
        <v>2.021351111111111E-2</v>
      </c>
      <c r="J570" s="2">
        <v>-1948.45166838665</v>
      </c>
      <c r="K570" s="13">
        <v>16.805879120879101</v>
      </c>
      <c r="L570" s="9">
        <f t="shared" ref="L570:L633" si="540">D570*65%</f>
        <v>5.2904222222222214E-2</v>
      </c>
      <c r="M570" s="2">
        <f t="shared" ref="M570:M633" si="541">C570*L570*K570</f>
        <v>22322.600394146775</v>
      </c>
      <c r="N570" s="16">
        <f t="shared" si="490"/>
        <v>16.805879120879101</v>
      </c>
    </row>
    <row r="571" spans="1:14" ht="17">
      <c r="A571" s="1" t="s">
        <v>564</v>
      </c>
      <c r="B571" s="6">
        <f t="shared" si="538"/>
        <v>292468.37822122558</v>
      </c>
      <c r="C571" s="2">
        <v>35388.673764768297</v>
      </c>
      <c r="D571" s="9">
        <v>8.2308253968254003E-2</v>
      </c>
      <c r="E571" s="2">
        <f t="shared" si="488"/>
        <v>31869.349576342178</v>
      </c>
      <c r="F571" s="9">
        <v>2.030231111111112E-2</v>
      </c>
      <c r="G571" s="2">
        <f t="shared" si="489"/>
        <v>-75037.585434935652</v>
      </c>
      <c r="H571" s="7">
        <f t="shared" si="539"/>
        <v>-2.3545377120165289</v>
      </c>
      <c r="I571" s="9">
        <v>2.030231111111112E-2</v>
      </c>
      <c r="J571" s="2">
        <v>-1952.14619883041</v>
      </c>
      <c r="K571" s="13">
        <v>16.8326373626373</v>
      </c>
      <c r="L571" s="9">
        <f t="shared" si="540"/>
        <v>5.3500365079365106E-2</v>
      </c>
      <c r="M571" s="2">
        <f t="shared" si="541"/>
        <v>31869.349576342178</v>
      </c>
      <c r="N571" s="16">
        <f t="shared" si="490"/>
        <v>16.8326373626373</v>
      </c>
    </row>
    <row r="572" spans="1:14" ht="17">
      <c r="A572" s="1" t="s">
        <v>565</v>
      </c>
      <c r="B572" s="6">
        <f t="shared" ref="B572" si="542">C572/11.09%</f>
        <v>271537.79209155007</v>
      </c>
      <c r="C572" s="2">
        <v>30113.541142952901</v>
      </c>
      <c r="D572" s="9">
        <v>8.32253968253968E-2</v>
      </c>
      <c r="E572" s="2">
        <f t="shared" si="488"/>
        <v>27464.586274918307</v>
      </c>
      <c r="F572" s="9">
        <v>2.0867111111111107E-2</v>
      </c>
      <c r="G572" s="2">
        <f t="shared" si="489"/>
        <v>-66485.490038338292</v>
      </c>
      <c r="H572" s="7">
        <f t="shared" si="539"/>
        <v>-2.4207715846444531</v>
      </c>
      <c r="I572" s="9">
        <v>2.0867111111111107E-2</v>
      </c>
      <c r="J572" s="2">
        <v>-1955.8407292741599</v>
      </c>
      <c r="K572" s="13">
        <v>16.859395604395601</v>
      </c>
      <c r="L572" s="9">
        <f t="shared" si="540"/>
        <v>5.4096507936507922E-2</v>
      </c>
      <c r="M572" s="2">
        <f t="shared" si="541"/>
        <v>27464.586274918307</v>
      </c>
      <c r="N572" s="16">
        <f t="shared" si="490"/>
        <v>16.859395604395605</v>
      </c>
    </row>
    <row r="573" spans="1:14" ht="17">
      <c r="A573" s="1" t="s">
        <v>566</v>
      </c>
      <c r="B573" s="6">
        <f t="shared" ref="B573" si="543">C573/12.01%</f>
        <v>84388.487828171536</v>
      </c>
      <c r="C573" s="2">
        <v>10135.057388163401</v>
      </c>
      <c r="D573" s="9">
        <v>8.4142539682539694E-2</v>
      </c>
      <c r="E573" s="2">
        <f t="shared" si="488"/>
        <v>9360.2172059086497</v>
      </c>
      <c r="F573" s="9">
        <v>2.081591111111112E-2</v>
      </c>
      <c r="G573" s="2">
        <f t="shared" si="489"/>
        <v>-22610.1629484476</v>
      </c>
      <c r="H573" s="7">
        <f t="shared" si="539"/>
        <v>-2.4155596447243664</v>
      </c>
      <c r="I573" s="9">
        <v>2.081591111111112E-2</v>
      </c>
      <c r="J573" s="2">
        <v>-1959.5352597179201</v>
      </c>
      <c r="K573" s="13">
        <v>16.8861538461538</v>
      </c>
      <c r="L573" s="9">
        <f t="shared" si="540"/>
        <v>5.46926507936508E-2</v>
      </c>
      <c r="M573" s="2">
        <f t="shared" si="541"/>
        <v>9360.2172059086497</v>
      </c>
      <c r="N573" s="16">
        <f t="shared" si="490"/>
        <v>16.886153846153803</v>
      </c>
    </row>
    <row r="574" spans="1:14" ht="17">
      <c r="A574" s="1" t="s">
        <v>567</v>
      </c>
      <c r="B574" s="6">
        <f t="shared" ref="B574" si="544">C574/10.26%</f>
        <v>190132.5531280273</v>
      </c>
      <c r="C574" s="2">
        <v>19507.599950935601</v>
      </c>
      <c r="D574" s="9">
        <v>8.5059682539682602E-2</v>
      </c>
      <c r="E574" s="2">
        <f t="shared" si="488"/>
        <v>18241.449548389701</v>
      </c>
      <c r="F574" s="9">
        <v>2.168871111111113E-2</v>
      </c>
      <c r="G574" s="2">
        <f t="shared" si="489"/>
        <v>-45924.647811662202</v>
      </c>
      <c r="H574" s="7">
        <f t="shared" si="539"/>
        <v>-2.5175985981726048</v>
      </c>
      <c r="I574" s="9">
        <v>2.168871111111113E-2</v>
      </c>
      <c r="J574" s="2">
        <v>-1963.2297901616801</v>
      </c>
      <c r="K574" s="13">
        <v>16.912912087912101</v>
      </c>
      <c r="L574" s="9">
        <f t="shared" si="540"/>
        <v>5.5288793650793693E-2</v>
      </c>
      <c r="M574" s="2">
        <f t="shared" si="541"/>
        <v>18241.449548389701</v>
      </c>
      <c r="N574" s="16">
        <f t="shared" si="490"/>
        <v>16.912912087912098</v>
      </c>
    </row>
    <row r="575" spans="1:14" ht="17">
      <c r="A575" s="1" t="s">
        <v>568</v>
      </c>
      <c r="B575" s="6">
        <f t="shared" ref="B575" si="545">C575/11.36%</f>
        <v>317880.19120161713</v>
      </c>
      <c r="C575" s="2">
        <v>36111.189720503702</v>
      </c>
      <c r="D575" s="9">
        <v>8.5976825396825399E-2</v>
      </c>
      <c r="E575" s="2">
        <f t="shared" si="488"/>
        <v>34185.466669861875</v>
      </c>
      <c r="F575" s="9">
        <v>2.3159911111111126E-2</v>
      </c>
      <c r="G575" s="2">
        <f t="shared" si="489"/>
        <v>-91930.812253686163</v>
      </c>
      <c r="H575" s="7">
        <f t="shared" si="539"/>
        <v>-2.6891782154529706</v>
      </c>
      <c r="I575" s="9">
        <v>2.3159911111111126E-2</v>
      </c>
      <c r="J575" s="2">
        <v>-1966.92432060543</v>
      </c>
      <c r="K575" s="13">
        <v>16.9396703296703</v>
      </c>
      <c r="L575" s="9">
        <f t="shared" si="540"/>
        <v>5.5884936507936508E-2</v>
      </c>
      <c r="M575" s="2">
        <f t="shared" si="541"/>
        <v>34185.466669861875</v>
      </c>
      <c r="N575" s="16">
        <f t="shared" si="490"/>
        <v>16.939670329670296</v>
      </c>
    </row>
    <row r="576" spans="1:14" ht="17">
      <c r="A576" s="1" t="s">
        <v>569</v>
      </c>
      <c r="B576" s="6">
        <f t="shared" ref="B576" si="546">C576/9.31%</f>
        <v>184018.73977696887</v>
      </c>
      <c r="C576" s="2">
        <v>17132.144673235802</v>
      </c>
      <c r="D576" s="9">
        <v>8.6893968253968307E-2</v>
      </c>
      <c r="E576" s="2">
        <f t="shared" si="488"/>
        <v>16417.429265654653</v>
      </c>
      <c r="F576" s="9">
        <v>2.5544711111111135E-2</v>
      </c>
      <c r="G576" s="2">
        <f t="shared" si="489"/>
        <v>-48710.024638422394</v>
      </c>
      <c r="H576" s="7">
        <f t="shared" si="539"/>
        <v>-2.9669702759325429</v>
      </c>
      <c r="I576" s="9">
        <v>2.5544711111111135E-2</v>
      </c>
      <c r="J576" s="2">
        <v>-1970.61885104919</v>
      </c>
      <c r="K576" s="13">
        <v>16.966428571428601</v>
      </c>
      <c r="L576" s="9">
        <f t="shared" si="540"/>
        <v>5.6481079365079401E-2</v>
      </c>
      <c r="M576" s="2">
        <f t="shared" si="541"/>
        <v>16417.429265654653</v>
      </c>
      <c r="N576" s="16">
        <f t="shared" si="490"/>
        <v>16.966428571428604</v>
      </c>
    </row>
    <row r="577" spans="1:14" ht="17">
      <c r="A577" s="1" t="s">
        <v>570</v>
      </c>
      <c r="B577" s="6">
        <f t="shared" ref="B577:B578" si="547">C577/12.1%</f>
        <v>129449.70139388264</v>
      </c>
      <c r="C577" s="2">
        <v>15663.4138686598</v>
      </c>
      <c r="D577" s="9">
        <v>8.7811111111111104E-2</v>
      </c>
      <c r="E577" s="2">
        <f t="shared" si="488"/>
        <v>15192.319466804585</v>
      </c>
      <c r="F577" s="9">
        <v>2.4065511111111122E-2</v>
      </c>
      <c r="G577" s="2">
        <f t="shared" si="489"/>
        <v>-42477.645025799255</v>
      </c>
      <c r="H577" s="7">
        <f t="shared" si="539"/>
        <v>-2.7959947207938498</v>
      </c>
      <c r="I577" s="9">
        <v>2.4065511111111122E-2</v>
      </c>
      <c r="J577" s="2">
        <v>-1974.3133814929499</v>
      </c>
      <c r="K577" s="13">
        <v>16.993186813186799</v>
      </c>
      <c r="L577" s="9">
        <f t="shared" si="540"/>
        <v>5.7077222222222217E-2</v>
      </c>
      <c r="M577" s="2">
        <f t="shared" si="541"/>
        <v>15192.319466804585</v>
      </c>
      <c r="N577" s="16">
        <f t="shared" si="490"/>
        <v>16.993186813186799</v>
      </c>
    </row>
    <row r="578" spans="1:14" ht="17">
      <c r="A578" s="1" t="s">
        <v>571</v>
      </c>
      <c r="B578" s="6">
        <f t="shared" si="547"/>
        <v>181826.63036499091</v>
      </c>
      <c r="C578" s="2">
        <v>22001.022274163901</v>
      </c>
      <c r="D578" s="9">
        <v>8.8728253968253998E-2</v>
      </c>
      <c r="E578" s="2">
        <f t="shared" si="488"/>
        <v>21596.148567029202</v>
      </c>
      <c r="F578" s="9">
        <v>2.4154311111111135E-2</v>
      </c>
      <c r="G578" s="2">
        <f t="shared" si="489"/>
        <v>-60623.475835183395</v>
      </c>
      <c r="H578" s="7">
        <f t="shared" si="539"/>
        <v>-2.8071429332421403</v>
      </c>
      <c r="I578" s="9">
        <v>2.4154311111111135E-2</v>
      </c>
      <c r="J578" s="2">
        <v>-1978.0079119367001</v>
      </c>
      <c r="K578" s="13">
        <v>17.019945054945001</v>
      </c>
      <c r="L578" s="9">
        <f t="shared" si="540"/>
        <v>5.7673365079365102E-2</v>
      </c>
      <c r="M578" s="2">
        <f t="shared" si="541"/>
        <v>21596.148567029202</v>
      </c>
      <c r="N578" s="16">
        <f t="shared" si="490"/>
        <v>17.019945054945001</v>
      </c>
    </row>
    <row r="579" spans="1:14" ht="17">
      <c r="A579" s="3" t="s">
        <v>572</v>
      </c>
      <c r="B579" s="6">
        <f t="shared" ref="B579" si="548">C579/11.09%</f>
        <v>84438753.49380812</v>
      </c>
      <c r="C579" s="4">
        <v>9364257.76246332</v>
      </c>
      <c r="D579" s="10">
        <v>8.9645396825396795E-2</v>
      </c>
      <c r="E579" s="2">
        <f t="shared" ref="E579:E633" si="549">C579*L579*K579</f>
        <v>9301545.4503244329</v>
      </c>
      <c r="F579" s="10">
        <v>1.4604800000000001E-2</v>
      </c>
      <c r="G579" s="2">
        <f t="shared" ref="G579:G633" si="550">C579*L579*F579*J579</f>
        <v>-15792423.035089904</v>
      </c>
      <c r="H579" s="7">
        <f t="shared" si="539"/>
        <v>-1.6978278630610866</v>
      </c>
      <c r="I579" s="10">
        <v>1.4604800000000001E-2</v>
      </c>
      <c r="J579" s="4">
        <v>-1981.7024423804601</v>
      </c>
      <c r="K579" s="14">
        <v>17.046703296703299</v>
      </c>
      <c r="L579" s="9">
        <f t="shared" si="540"/>
        <v>5.8269507936507918E-2</v>
      </c>
      <c r="M579" s="2">
        <f t="shared" si="541"/>
        <v>9301545.4503244329</v>
      </c>
      <c r="N579" s="16">
        <f t="shared" ref="N579:N633" si="551">J579*I579/H579</f>
        <v>17.046703296703299</v>
      </c>
    </row>
    <row r="580" spans="1:14" ht="17">
      <c r="D580" s="11">
        <v>9.0562539682539703E-2</v>
      </c>
      <c r="E580" s="2">
        <f t="shared" si="549"/>
        <v>0</v>
      </c>
      <c r="F580" s="11">
        <v>1.4133600000000014E-2</v>
      </c>
      <c r="G580" s="2">
        <f t="shared" si="550"/>
        <v>0</v>
      </c>
      <c r="I580" s="11">
        <v>1.4133600000000014E-2</v>
      </c>
      <c r="J580">
        <v>-1985.39697282422</v>
      </c>
      <c r="K580" s="15">
        <v>17.073461538461501</v>
      </c>
      <c r="L580" s="9">
        <f t="shared" si="540"/>
        <v>5.886565079365081E-2</v>
      </c>
      <c r="M580" s="2">
        <f t="shared" si="541"/>
        <v>0</v>
      </c>
      <c r="N580" s="16" t="e">
        <f t="shared" si="551"/>
        <v>#DIV/0!</v>
      </c>
    </row>
    <row r="581" spans="1:14" ht="17">
      <c r="D581" s="11">
        <v>9.1479682539682597E-2</v>
      </c>
      <c r="E581" s="2">
        <f t="shared" si="549"/>
        <v>0</v>
      </c>
      <c r="F581" s="11">
        <v>2.1252E-2</v>
      </c>
      <c r="G581" s="2">
        <f t="shared" si="550"/>
        <v>0</v>
      </c>
      <c r="I581" s="11">
        <v>2.1252E-2</v>
      </c>
      <c r="J581">
        <v>-1989.09150326797</v>
      </c>
      <c r="K581" s="15">
        <v>17.100219780219799</v>
      </c>
      <c r="L581" s="9">
        <f t="shared" si="540"/>
        <v>5.9461793650793689E-2</v>
      </c>
      <c r="M581" s="2">
        <f t="shared" si="541"/>
        <v>0</v>
      </c>
      <c r="N581" s="16" t="e">
        <f t="shared" si="551"/>
        <v>#DIV/0!</v>
      </c>
    </row>
    <row r="582" spans="1:14" ht="17">
      <c r="D582" s="11">
        <v>9.2396825396825394E-2</v>
      </c>
      <c r="E582" s="2">
        <f t="shared" si="549"/>
        <v>0</v>
      </c>
      <c r="F582" s="11">
        <v>2.2008000000000003E-2</v>
      </c>
      <c r="G582" s="2">
        <f t="shared" si="550"/>
        <v>0</v>
      </c>
      <c r="I582" s="11">
        <v>2.2008000000000003E-2</v>
      </c>
      <c r="J582">
        <v>-1992.7860337117299</v>
      </c>
      <c r="K582" s="15">
        <v>17.126978021978001</v>
      </c>
      <c r="L582" s="9">
        <f t="shared" si="540"/>
        <v>6.0057936507936505E-2</v>
      </c>
      <c r="M582" s="2">
        <f t="shared" si="541"/>
        <v>0</v>
      </c>
      <c r="N582" s="16" t="e">
        <f t="shared" si="551"/>
        <v>#DIV/0!</v>
      </c>
    </row>
    <row r="583" spans="1:14" ht="17">
      <c r="D583" s="11">
        <v>9.3313968253968302E-2</v>
      </c>
      <c r="E583" s="2">
        <f t="shared" si="549"/>
        <v>0</v>
      </c>
      <c r="F583" s="11">
        <v>2.3999911111111129E-2</v>
      </c>
      <c r="G583" s="2">
        <f t="shared" si="550"/>
        <v>0</v>
      </c>
      <c r="I583" s="11">
        <v>2.3999911111111129E-2</v>
      </c>
      <c r="J583">
        <v>-1996.4805641554799</v>
      </c>
      <c r="K583" s="15">
        <v>17.153736263736199</v>
      </c>
      <c r="L583" s="9">
        <f t="shared" si="540"/>
        <v>6.0654079365079397E-2</v>
      </c>
      <c r="M583" s="2">
        <f t="shared" si="541"/>
        <v>0</v>
      </c>
      <c r="N583" s="16" t="e">
        <f t="shared" si="551"/>
        <v>#DIV/0!</v>
      </c>
    </row>
    <row r="584" spans="1:14" ht="17">
      <c r="D584" s="11">
        <v>9.4231111111111196E-2</v>
      </c>
      <c r="E584" s="2">
        <f t="shared" si="549"/>
        <v>0</v>
      </c>
      <c r="F584" s="11">
        <v>2.3248711111111136E-2</v>
      </c>
      <c r="G584" s="2">
        <f t="shared" si="550"/>
        <v>0</v>
      </c>
      <c r="I584" s="11">
        <v>2.3248711111111136E-2</v>
      </c>
      <c r="J584">
        <v>-2000.1750945992401</v>
      </c>
      <c r="K584" s="15">
        <v>17.180494505494501</v>
      </c>
      <c r="L584" s="9">
        <f t="shared" si="540"/>
        <v>6.1250222222222282E-2</v>
      </c>
      <c r="M584" s="2">
        <f t="shared" si="541"/>
        <v>0</v>
      </c>
      <c r="N584" s="16" t="e">
        <f t="shared" si="551"/>
        <v>#DIV/0!</v>
      </c>
    </row>
    <row r="585" spans="1:14" ht="17">
      <c r="D585" s="11">
        <v>9.5148253968254007E-2</v>
      </c>
      <c r="E585" s="2">
        <f t="shared" si="549"/>
        <v>0</v>
      </c>
      <c r="F585" s="11">
        <v>2.3589511111111121E-2</v>
      </c>
      <c r="G585" s="2">
        <f t="shared" si="550"/>
        <v>0</v>
      </c>
      <c r="I585" s="11">
        <v>2.3589511111111121E-2</v>
      </c>
      <c r="J585">
        <v>-2003.869625043</v>
      </c>
      <c r="K585" s="15">
        <v>17.207252747252699</v>
      </c>
      <c r="L585" s="9">
        <f t="shared" si="540"/>
        <v>6.1846365079365105E-2</v>
      </c>
      <c r="M585" s="2">
        <f t="shared" si="541"/>
        <v>0</v>
      </c>
      <c r="N585" s="16" t="e">
        <f t="shared" si="551"/>
        <v>#DIV/0!</v>
      </c>
    </row>
    <row r="586" spans="1:14" ht="17">
      <c r="D586" s="11">
        <v>9.6065396825396901E-2</v>
      </c>
      <c r="E586" s="2">
        <f t="shared" si="549"/>
        <v>0</v>
      </c>
      <c r="F586" s="11">
        <v>2.3930311111111133E-2</v>
      </c>
      <c r="G586" s="2">
        <f t="shared" si="550"/>
        <v>0</v>
      </c>
      <c r="I586" s="11">
        <v>2.3930311111111133E-2</v>
      </c>
      <c r="J586">
        <v>-2007.56415548675</v>
      </c>
      <c r="K586" s="15">
        <v>17.234010989011001</v>
      </c>
      <c r="L586" s="9">
        <f t="shared" si="540"/>
        <v>6.244250793650799E-2</v>
      </c>
      <c r="M586" s="2">
        <f t="shared" si="541"/>
        <v>0</v>
      </c>
      <c r="N586" s="16" t="e">
        <f t="shared" si="551"/>
        <v>#DIV/0!</v>
      </c>
    </row>
    <row r="587" spans="1:14" ht="17">
      <c r="D587" s="11">
        <v>6.8777142857142898E-2</v>
      </c>
      <c r="E587" s="2">
        <f t="shared" si="549"/>
        <v>0</v>
      </c>
      <c r="F587" s="11">
        <v>1.8417600000000013E-2</v>
      </c>
      <c r="G587" s="2">
        <f t="shared" si="550"/>
        <v>0</v>
      </c>
      <c r="I587" s="11">
        <v>1.8417600000000013E-2</v>
      </c>
      <c r="J587">
        <v>-2011.25868593051</v>
      </c>
      <c r="K587" s="15">
        <v>17.260769230769199</v>
      </c>
      <c r="L587" s="9">
        <f t="shared" si="540"/>
        <v>4.4705142857142888E-2</v>
      </c>
      <c r="M587" s="2">
        <f t="shared" si="541"/>
        <v>0</v>
      </c>
      <c r="N587" s="16" t="e">
        <f t="shared" si="551"/>
        <v>#DIV/0!</v>
      </c>
    </row>
    <row r="588" spans="1:14" ht="17">
      <c r="D588" s="11">
        <v>6.9602857142857105E-2</v>
      </c>
      <c r="E588" s="2">
        <f t="shared" si="549"/>
        <v>0</v>
      </c>
      <c r="F588" s="11">
        <v>2.3159911111111126E-2</v>
      </c>
      <c r="G588" s="2">
        <f t="shared" si="550"/>
        <v>0</v>
      </c>
      <c r="I588" s="11">
        <v>2.3159911111111126E-2</v>
      </c>
      <c r="J588">
        <v>-2014.9532163742699</v>
      </c>
      <c r="K588" s="15">
        <v>17.287527472527501</v>
      </c>
      <c r="L588" s="9">
        <f t="shared" si="540"/>
        <v>4.5241857142857118E-2</v>
      </c>
      <c r="M588" s="2">
        <f t="shared" si="541"/>
        <v>0</v>
      </c>
      <c r="N588" s="16" t="e">
        <f t="shared" si="551"/>
        <v>#DIV/0!</v>
      </c>
    </row>
    <row r="589" spans="1:14" ht="17">
      <c r="D589" s="11">
        <v>7.0428571428571396E-2</v>
      </c>
      <c r="E589" s="2">
        <f t="shared" si="549"/>
        <v>0</v>
      </c>
      <c r="F589" s="11">
        <v>2.5544711111111135E-2</v>
      </c>
      <c r="G589" s="2">
        <f t="shared" si="550"/>
        <v>0</v>
      </c>
      <c r="I589" s="11">
        <v>2.5544711111111135E-2</v>
      </c>
      <c r="J589">
        <v>-2018.6477468180201</v>
      </c>
      <c r="K589" s="15">
        <v>17.314285714285699</v>
      </c>
      <c r="L589" s="9">
        <f t="shared" si="540"/>
        <v>4.5778571428571412E-2</v>
      </c>
      <c r="M589" s="2">
        <f t="shared" si="541"/>
        <v>0</v>
      </c>
      <c r="N589" s="16" t="e">
        <f t="shared" si="551"/>
        <v>#DIV/0!</v>
      </c>
    </row>
    <row r="590" spans="1:14" ht="17">
      <c r="D590" s="11">
        <v>7.9556825396825404E-2</v>
      </c>
      <c r="E590" s="2">
        <f t="shared" si="549"/>
        <v>0</v>
      </c>
      <c r="F590" s="11">
        <v>2.4065511111111122E-2</v>
      </c>
      <c r="G590" s="2">
        <f t="shared" si="550"/>
        <v>0</v>
      </c>
      <c r="I590" s="11">
        <v>2.4065511111111122E-2</v>
      </c>
      <c r="J590">
        <v>-2022.3422772617801</v>
      </c>
      <c r="K590" s="15">
        <v>17.341043956043901</v>
      </c>
      <c r="L590" s="9">
        <f t="shared" si="540"/>
        <v>5.1711936507936512E-2</v>
      </c>
      <c r="M590" s="2">
        <f t="shared" si="541"/>
        <v>0</v>
      </c>
      <c r="N590" s="16" t="e">
        <f t="shared" si="551"/>
        <v>#DIV/0!</v>
      </c>
    </row>
    <row r="591" spans="1:14" ht="17">
      <c r="D591" s="11">
        <v>8.0473968253968298E-2</v>
      </c>
      <c r="E591" s="2">
        <f t="shared" si="549"/>
        <v>0</v>
      </c>
      <c r="F591" s="11">
        <v>2.4154311111111135E-2</v>
      </c>
      <c r="G591" s="2">
        <f t="shared" si="550"/>
        <v>0</v>
      </c>
      <c r="I591" s="11">
        <v>2.4154311111111135E-2</v>
      </c>
      <c r="J591">
        <v>-2026.03680770554</v>
      </c>
      <c r="K591" s="15">
        <v>17.367802197802199</v>
      </c>
      <c r="L591" s="9">
        <f t="shared" si="540"/>
        <v>5.2308079365079398E-2</v>
      </c>
      <c r="M591" s="2">
        <f t="shared" si="541"/>
        <v>0</v>
      </c>
      <c r="N591" s="16" t="e">
        <f t="shared" si="551"/>
        <v>#DIV/0!</v>
      </c>
    </row>
    <row r="592" spans="1:14" ht="17">
      <c r="D592" s="11">
        <v>8.1391111111111095E-2</v>
      </c>
      <c r="E592" s="2">
        <f t="shared" si="549"/>
        <v>0</v>
      </c>
      <c r="F592" s="11">
        <v>1.4604800000000001E-2</v>
      </c>
      <c r="G592" s="2">
        <f t="shared" si="550"/>
        <v>0</v>
      </c>
      <c r="I592" s="11">
        <v>1.4604800000000001E-2</v>
      </c>
      <c r="J592">
        <v>-2029.73133814929</v>
      </c>
      <c r="K592" s="15">
        <v>17.394560439560401</v>
      </c>
      <c r="L592" s="9">
        <f t="shared" si="540"/>
        <v>5.2904222222222214E-2</v>
      </c>
      <c r="M592" s="2">
        <f t="shared" si="541"/>
        <v>0</v>
      </c>
      <c r="N592" s="16" t="e">
        <f t="shared" si="551"/>
        <v>#DIV/0!</v>
      </c>
    </row>
    <row r="593" spans="4:14" ht="17">
      <c r="D593" s="11">
        <v>8.2308253968254003E-2</v>
      </c>
      <c r="E593" s="2">
        <f t="shared" si="549"/>
        <v>0</v>
      </c>
      <c r="F593" s="11">
        <v>1.4133600000000014E-2</v>
      </c>
      <c r="G593" s="2">
        <f t="shared" si="550"/>
        <v>0</v>
      </c>
      <c r="I593" s="11">
        <v>1.4133600000000014E-2</v>
      </c>
      <c r="J593">
        <v>-2033.4258685930499</v>
      </c>
      <c r="K593" s="15">
        <v>17.421318681318699</v>
      </c>
      <c r="L593" s="9">
        <f t="shared" si="540"/>
        <v>5.3500365079365106E-2</v>
      </c>
      <c r="M593" s="2">
        <f t="shared" si="541"/>
        <v>0</v>
      </c>
      <c r="N593" s="16" t="e">
        <f t="shared" si="551"/>
        <v>#DIV/0!</v>
      </c>
    </row>
    <row r="594" spans="4:14" ht="17">
      <c r="D594" s="11">
        <v>8.32253968253968E-2</v>
      </c>
      <c r="E594" s="2">
        <f t="shared" si="549"/>
        <v>0</v>
      </c>
      <c r="F594" s="11">
        <v>2.1252E-2</v>
      </c>
      <c r="G594" s="2">
        <f t="shared" si="550"/>
        <v>0</v>
      </c>
      <c r="I594" s="11">
        <v>2.1252E-2</v>
      </c>
      <c r="J594">
        <v>-2037.1203990368101</v>
      </c>
      <c r="K594" s="15">
        <v>17.448076923076901</v>
      </c>
      <c r="L594" s="9">
        <f t="shared" si="540"/>
        <v>5.4096507936507922E-2</v>
      </c>
      <c r="M594" s="2">
        <f t="shared" si="541"/>
        <v>0</v>
      </c>
      <c r="N594" s="16" t="e">
        <f t="shared" si="551"/>
        <v>#DIV/0!</v>
      </c>
    </row>
    <row r="595" spans="4:14" ht="17">
      <c r="D595" s="11">
        <v>8.4142539682539694E-2</v>
      </c>
      <c r="E595" s="2">
        <f t="shared" si="549"/>
        <v>0</v>
      </c>
      <c r="F595" s="11">
        <v>2.2008000000000003E-2</v>
      </c>
      <c r="G595" s="2">
        <f t="shared" si="550"/>
        <v>0</v>
      </c>
      <c r="I595" s="11">
        <v>2.2008000000000003E-2</v>
      </c>
      <c r="J595">
        <v>-2040.8149294805601</v>
      </c>
      <c r="K595" s="15">
        <v>17.474835164835099</v>
      </c>
      <c r="L595" s="9">
        <f t="shared" si="540"/>
        <v>5.46926507936508E-2</v>
      </c>
      <c r="M595" s="2">
        <f t="shared" si="541"/>
        <v>0</v>
      </c>
      <c r="N595" s="16" t="e">
        <f t="shared" si="551"/>
        <v>#DIV/0!</v>
      </c>
    </row>
    <row r="596" spans="4:14" ht="17">
      <c r="D596" s="11">
        <v>8.3500000000000005E-2</v>
      </c>
      <c r="E596" s="2">
        <f t="shared" si="549"/>
        <v>0</v>
      </c>
      <c r="F596" s="11">
        <v>2.2540000000000001E-2</v>
      </c>
      <c r="G596" s="2">
        <f t="shared" si="550"/>
        <v>0</v>
      </c>
      <c r="I596" s="11">
        <v>2.2540000000000001E-2</v>
      </c>
      <c r="J596">
        <v>-2044.50945992432</v>
      </c>
      <c r="K596" s="15">
        <v>17.5015934065934</v>
      </c>
      <c r="L596" s="9">
        <f t="shared" si="540"/>
        <v>5.4275000000000004E-2</v>
      </c>
      <c r="M596" s="2">
        <f t="shared" si="541"/>
        <v>0</v>
      </c>
      <c r="N596" s="16" t="e">
        <f t="shared" si="551"/>
        <v>#DIV/0!</v>
      </c>
    </row>
    <row r="597" spans="4:14" ht="17">
      <c r="D597" s="11">
        <v>8.9800000000000005E-2</v>
      </c>
      <c r="E597" s="2">
        <f t="shared" si="549"/>
        <v>0</v>
      </c>
      <c r="F597" s="11">
        <v>2.2568000000000005E-2</v>
      </c>
      <c r="G597" s="2">
        <f t="shared" si="550"/>
        <v>0</v>
      </c>
      <c r="I597" s="11">
        <v>2.2568000000000005E-2</v>
      </c>
      <c r="J597">
        <v>-2048.2039903680802</v>
      </c>
      <c r="K597" s="15">
        <v>17.528351648351599</v>
      </c>
      <c r="L597" s="9">
        <f t="shared" si="540"/>
        <v>5.8370000000000005E-2</v>
      </c>
      <c r="M597" s="2">
        <f t="shared" si="541"/>
        <v>0</v>
      </c>
      <c r="N597" s="16" t="e">
        <f t="shared" si="551"/>
        <v>#DIV/0!</v>
      </c>
    </row>
    <row r="598" spans="4:14" ht="17">
      <c r="D598" s="11">
        <v>8.8700000000000001E-2</v>
      </c>
      <c r="E598" s="2">
        <f t="shared" si="549"/>
        <v>0</v>
      </c>
      <c r="F598" s="11">
        <v>2.2092000000000001E-2</v>
      </c>
      <c r="G598" s="2">
        <f t="shared" si="550"/>
        <v>0</v>
      </c>
      <c r="I598" s="11">
        <v>2.2092000000000001E-2</v>
      </c>
      <c r="J598">
        <v>-2051.8985208118302</v>
      </c>
      <c r="K598" s="15">
        <v>17.5551098901099</v>
      </c>
      <c r="L598" s="9">
        <f t="shared" si="540"/>
        <v>5.7655000000000005E-2</v>
      </c>
      <c r="M598" s="2">
        <f t="shared" si="541"/>
        <v>0</v>
      </c>
      <c r="N598" s="16" t="e">
        <f t="shared" si="551"/>
        <v>#DIV/0!</v>
      </c>
    </row>
    <row r="599" spans="4:14" ht="17">
      <c r="D599" s="11">
        <v>5.9900000000000002E-2</v>
      </c>
      <c r="E599" s="2">
        <f t="shared" si="549"/>
        <v>0</v>
      </c>
      <c r="F599" s="11">
        <v>1.4336000000000002E-2</v>
      </c>
      <c r="G599" s="2">
        <f t="shared" si="550"/>
        <v>0</v>
      </c>
      <c r="I599" s="11">
        <v>1.4336000000000002E-2</v>
      </c>
      <c r="J599">
        <v>-2055.5930512555901</v>
      </c>
      <c r="K599" s="15">
        <v>17.581868131868099</v>
      </c>
      <c r="L599" s="9">
        <f t="shared" si="540"/>
        <v>3.8935000000000004E-2</v>
      </c>
      <c r="M599" s="2">
        <f t="shared" si="541"/>
        <v>0</v>
      </c>
      <c r="N599" s="16" t="e">
        <f t="shared" si="551"/>
        <v>#DIV/0!</v>
      </c>
    </row>
    <row r="600" spans="4:14" ht="17">
      <c r="D600" s="11">
        <v>8.1100000000000005E-2</v>
      </c>
      <c r="E600" s="2">
        <f t="shared" si="549"/>
        <v>0</v>
      </c>
      <c r="F600" s="11">
        <v>1.9964000000000003E-2</v>
      </c>
      <c r="G600" s="2">
        <f t="shared" si="550"/>
        <v>0</v>
      </c>
      <c r="I600" s="11">
        <v>1.9964000000000003E-2</v>
      </c>
      <c r="J600">
        <v>-2059.2875816993401</v>
      </c>
      <c r="K600" s="15">
        <v>17.6086263736264</v>
      </c>
      <c r="L600" s="9">
        <f t="shared" si="540"/>
        <v>5.2715000000000005E-2</v>
      </c>
      <c r="M600" s="2">
        <f t="shared" si="541"/>
        <v>0</v>
      </c>
      <c r="N600" s="16" t="e">
        <f t="shared" si="551"/>
        <v>#DIV/0!</v>
      </c>
    </row>
    <row r="601" spans="4:14" ht="17">
      <c r="D601" s="11">
        <v>7.4399999999999994E-2</v>
      </c>
      <c r="E601" s="2">
        <f t="shared" si="549"/>
        <v>0</v>
      </c>
      <c r="F601" s="11">
        <v>1.8704000000000002E-2</v>
      </c>
      <c r="G601" s="2">
        <f t="shared" si="550"/>
        <v>0</v>
      </c>
      <c r="I601" s="11">
        <v>1.8704000000000002E-2</v>
      </c>
      <c r="J601">
        <v>-2062.9821121431</v>
      </c>
      <c r="K601" s="15">
        <v>17.635384615384599</v>
      </c>
      <c r="L601" s="9">
        <f t="shared" si="540"/>
        <v>4.836E-2</v>
      </c>
      <c r="M601" s="2">
        <f t="shared" si="541"/>
        <v>0</v>
      </c>
      <c r="N601" s="16" t="e">
        <f t="shared" si="551"/>
        <v>#DIV/0!</v>
      </c>
    </row>
    <row r="602" spans="4:14" ht="17">
      <c r="D602" s="11">
        <v>8.0473968253968298E-2</v>
      </c>
      <c r="E602" s="2">
        <f t="shared" si="549"/>
        <v>0</v>
      </c>
      <c r="F602" s="11">
        <v>1.9396711111111124E-2</v>
      </c>
      <c r="G602" s="2">
        <f t="shared" si="550"/>
        <v>0</v>
      </c>
      <c r="I602" s="11">
        <v>1.9396711111111124E-2</v>
      </c>
      <c r="J602">
        <v>-2066.67664258686</v>
      </c>
      <c r="K602" s="15">
        <v>17.662142857142801</v>
      </c>
      <c r="L602" s="9">
        <f t="shared" si="540"/>
        <v>5.2308079365079398E-2</v>
      </c>
      <c r="M602" s="2">
        <f t="shared" si="541"/>
        <v>0</v>
      </c>
      <c r="N602" s="16" t="e">
        <f t="shared" si="551"/>
        <v>#DIV/0!</v>
      </c>
    </row>
    <row r="603" spans="4:14" ht="17">
      <c r="D603" s="11">
        <v>8.1391111111111095E-2</v>
      </c>
      <c r="E603" s="2">
        <f t="shared" si="549"/>
        <v>0</v>
      </c>
      <c r="F603" s="11">
        <v>1.9737511111111109E-2</v>
      </c>
      <c r="G603" s="2">
        <f t="shared" si="550"/>
        <v>0</v>
      </c>
      <c r="I603" s="11">
        <v>1.9737511111111109E-2</v>
      </c>
      <c r="J603">
        <v>-2070.37117303061</v>
      </c>
      <c r="K603" s="15">
        <v>17.688901098901098</v>
      </c>
      <c r="L603" s="9">
        <f t="shared" si="540"/>
        <v>5.2904222222222214E-2</v>
      </c>
      <c r="M603" s="2">
        <f t="shared" si="541"/>
        <v>0</v>
      </c>
      <c r="N603" s="16" t="e">
        <f t="shared" si="551"/>
        <v>#DIV/0!</v>
      </c>
    </row>
    <row r="604" spans="4:14" ht="17">
      <c r="D604" s="11">
        <v>8.2308253968254003E-2</v>
      </c>
      <c r="E604" s="2">
        <f t="shared" si="549"/>
        <v>0</v>
      </c>
      <c r="F604" s="11">
        <v>2.3159911111111126E-2</v>
      </c>
      <c r="G604" s="2">
        <f t="shared" si="550"/>
        <v>0</v>
      </c>
      <c r="I604" s="11">
        <v>2.3159911111111126E-2</v>
      </c>
      <c r="J604">
        <v>-2074.0657034743699</v>
      </c>
      <c r="K604" s="15">
        <v>17.7156593406593</v>
      </c>
      <c r="L604" s="9">
        <f t="shared" si="540"/>
        <v>5.3500365079365106E-2</v>
      </c>
      <c r="M604" s="2">
        <f t="shared" si="541"/>
        <v>0</v>
      </c>
      <c r="N604" s="16" t="e">
        <f t="shared" si="551"/>
        <v>#DIV/0!</v>
      </c>
    </row>
    <row r="605" spans="4:14" ht="17">
      <c r="D605" s="11">
        <v>8.32253968253968E-2</v>
      </c>
      <c r="E605" s="2">
        <f t="shared" si="549"/>
        <v>0</v>
      </c>
      <c r="F605" s="11">
        <v>2.5544711111111135E-2</v>
      </c>
      <c r="G605" s="2">
        <f t="shared" si="550"/>
        <v>0</v>
      </c>
      <c r="I605" s="11">
        <v>2.5544711111111135E-2</v>
      </c>
      <c r="J605">
        <v>-2077.7602339181299</v>
      </c>
      <c r="K605" s="15">
        <v>17.742417582417598</v>
      </c>
      <c r="L605" s="9">
        <f t="shared" si="540"/>
        <v>5.4096507936507922E-2</v>
      </c>
      <c r="M605" s="2">
        <f t="shared" si="541"/>
        <v>0</v>
      </c>
      <c r="N605" s="16" t="e">
        <f t="shared" si="551"/>
        <v>#DIV/0!</v>
      </c>
    </row>
    <row r="606" spans="4:14" ht="17">
      <c r="D606" s="11">
        <v>8.4142539682539694E-2</v>
      </c>
      <c r="E606" s="2">
        <f t="shared" si="549"/>
        <v>0</v>
      </c>
      <c r="F606" s="11">
        <v>2.4065511111111122E-2</v>
      </c>
      <c r="G606" s="2">
        <f t="shared" si="550"/>
        <v>0</v>
      </c>
      <c r="I606" s="11">
        <v>2.4065511111111122E-2</v>
      </c>
      <c r="J606">
        <v>-2081.4547643618798</v>
      </c>
      <c r="K606" s="15">
        <v>17.7691758241758</v>
      </c>
      <c r="L606" s="9">
        <f t="shared" si="540"/>
        <v>5.46926507936508E-2</v>
      </c>
      <c r="M606" s="2">
        <f t="shared" si="541"/>
        <v>0</v>
      </c>
      <c r="N606" s="16" t="e">
        <f t="shared" si="551"/>
        <v>#DIV/0!</v>
      </c>
    </row>
    <row r="607" spans="4:14" ht="17">
      <c r="D607" s="11">
        <v>8.5059682539682602E-2</v>
      </c>
      <c r="E607" s="2">
        <f t="shared" si="549"/>
        <v>0</v>
      </c>
      <c r="F607" s="11">
        <v>2.4154311111111135E-2</v>
      </c>
      <c r="G607" s="2">
        <f t="shared" si="550"/>
        <v>0</v>
      </c>
      <c r="I607" s="11">
        <v>2.4154311111111135E-2</v>
      </c>
      <c r="J607">
        <v>-2085.1492948056398</v>
      </c>
      <c r="K607" s="15">
        <v>17.795934065934102</v>
      </c>
      <c r="L607" s="9">
        <f t="shared" si="540"/>
        <v>5.5288793650793693E-2</v>
      </c>
      <c r="M607" s="2">
        <f t="shared" si="541"/>
        <v>0</v>
      </c>
      <c r="N607" s="16" t="e">
        <f t="shared" si="551"/>
        <v>#DIV/0!</v>
      </c>
    </row>
    <row r="608" spans="4:14" ht="17">
      <c r="D608" s="11">
        <v>8.5976825396825399E-2</v>
      </c>
      <c r="E608" s="2">
        <f t="shared" si="549"/>
        <v>0</v>
      </c>
      <c r="F608" s="11">
        <v>1.4604800000000001E-2</v>
      </c>
      <c r="G608" s="2">
        <f t="shared" si="550"/>
        <v>0</v>
      </c>
      <c r="I608" s="11">
        <v>1.4604800000000001E-2</v>
      </c>
      <c r="J608">
        <v>-2088.8438252494002</v>
      </c>
      <c r="K608" s="15">
        <v>17.8226923076923</v>
      </c>
      <c r="L608" s="9">
        <f t="shared" si="540"/>
        <v>5.5884936507936508E-2</v>
      </c>
      <c r="M608" s="2">
        <f t="shared" si="541"/>
        <v>0</v>
      </c>
      <c r="N608" s="16" t="e">
        <f t="shared" si="551"/>
        <v>#DIV/0!</v>
      </c>
    </row>
    <row r="609" spans="4:14" ht="17">
      <c r="D609" s="11">
        <v>8.6893968253968307E-2</v>
      </c>
      <c r="E609" s="2">
        <f t="shared" si="549"/>
        <v>0</v>
      </c>
      <c r="F609" s="11">
        <v>1.4133600000000014E-2</v>
      </c>
      <c r="G609" s="2">
        <f t="shared" si="550"/>
        <v>0</v>
      </c>
      <c r="I609" s="11">
        <v>1.4133600000000014E-2</v>
      </c>
      <c r="J609">
        <v>-2092.5383556931502</v>
      </c>
      <c r="K609" s="15">
        <v>17.849450549450498</v>
      </c>
      <c r="L609" s="9">
        <f t="shared" si="540"/>
        <v>5.6481079365079401E-2</v>
      </c>
      <c r="M609" s="2">
        <f t="shared" si="541"/>
        <v>0</v>
      </c>
      <c r="N609" s="16" t="e">
        <f t="shared" si="551"/>
        <v>#DIV/0!</v>
      </c>
    </row>
    <row r="610" spans="4:14" ht="17">
      <c r="D610" s="11">
        <v>8.7811111111111104E-2</v>
      </c>
      <c r="E610" s="2">
        <f t="shared" si="549"/>
        <v>0</v>
      </c>
      <c r="F610" s="11">
        <v>2.1252E-2</v>
      </c>
      <c r="G610" s="2">
        <f t="shared" si="550"/>
        <v>0</v>
      </c>
      <c r="I610" s="11">
        <v>2.1252E-2</v>
      </c>
      <c r="J610">
        <v>-2096.2328861369101</v>
      </c>
      <c r="K610" s="15">
        <v>17.8762087912088</v>
      </c>
      <c r="L610" s="9">
        <f t="shared" si="540"/>
        <v>5.7077222222222217E-2</v>
      </c>
      <c r="M610" s="2">
        <f t="shared" si="541"/>
        <v>0</v>
      </c>
      <c r="N610" s="16" t="e">
        <f t="shared" si="551"/>
        <v>#DIV/0!</v>
      </c>
    </row>
    <row r="611" spans="4:14" ht="17">
      <c r="D611" s="11">
        <v>8.8728253968253998E-2</v>
      </c>
      <c r="E611" s="2">
        <f t="shared" si="549"/>
        <v>0</v>
      </c>
      <c r="F611" s="11">
        <v>2.2008000000000003E-2</v>
      </c>
      <c r="G611" s="2">
        <f t="shared" si="550"/>
        <v>0</v>
      </c>
      <c r="I611" s="11">
        <v>2.2008000000000003E-2</v>
      </c>
      <c r="J611">
        <v>-2099.9274165806701</v>
      </c>
      <c r="K611" s="15">
        <v>17.902967032966998</v>
      </c>
      <c r="L611" s="9">
        <f t="shared" si="540"/>
        <v>5.7673365079365102E-2</v>
      </c>
      <c r="M611" s="2">
        <f t="shared" si="541"/>
        <v>0</v>
      </c>
      <c r="N611" s="16" t="e">
        <f t="shared" si="551"/>
        <v>#DIV/0!</v>
      </c>
    </row>
    <row r="612" spans="4:14" ht="17">
      <c r="D612" s="11">
        <v>8.9645396825396795E-2</v>
      </c>
      <c r="E612" s="2">
        <f t="shared" si="549"/>
        <v>0</v>
      </c>
      <c r="F612" s="11">
        <v>2.2048711111111133E-2</v>
      </c>
      <c r="G612" s="2">
        <f t="shared" si="550"/>
        <v>0</v>
      </c>
      <c r="I612" s="11">
        <v>2.2048711111111133E-2</v>
      </c>
      <c r="J612">
        <v>-2103.62194702442</v>
      </c>
      <c r="K612" s="15">
        <v>17.9297252747253</v>
      </c>
      <c r="L612" s="9">
        <f t="shared" si="540"/>
        <v>5.8269507936507918E-2</v>
      </c>
      <c r="M612" s="2">
        <f t="shared" si="541"/>
        <v>0</v>
      </c>
      <c r="N612" s="16" t="e">
        <f t="shared" si="551"/>
        <v>#DIV/0!</v>
      </c>
    </row>
    <row r="613" spans="4:14" ht="17">
      <c r="D613" s="11">
        <v>9.0562539682539703E-2</v>
      </c>
      <c r="E613" s="2">
        <f t="shared" si="549"/>
        <v>0</v>
      </c>
      <c r="F613" s="11">
        <v>2.2389511111111118E-2</v>
      </c>
      <c r="G613" s="2">
        <f t="shared" si="550"/>
        <v>0</v>
      </c>
      <c r="I613" s="11">
        <v>2.2389511111111118E-2</v>
      </c>
      <c r="J613">
        <v>-2107.31647746818</v>
      </c>
      <c r="K613" s="15">
        <v>17.956483516483502</v>
      </c>
      <c r="L613" s="9">
        <f t="shared" si="540"/>
        <v>5.886565079365081E-2</v>
      </c>
      <c r="M613" s="2">
        <f t="shared" si="541"/>
        <v>0</v>
      </c>
      <c r="N613" s="16" t="e">
        <f t="shared" si="551"/>
        <v>#DIV/0!</v>
      </c>
    </row>
    <row r="614" spans="4:14" ht="17">
      <c r="D614" s="11">
        <v>9.1479682539682597E-2</v>
      </c>
      <c r="E614" s="2">
        <f t="shared" si="549"/>
        <v>0</v>
      </c>
      <c r="F614" s="11">
        <v>2.4774311111111127E-2</v>
      </c>
      <c r="G614" s="2">
        <f t="shared" si="550"/>
        <v>0</v>
      </c>
      <c r="I614" s="11">
        <v>2.4774311111111127E-2</v>
      </c>
      <c r="J614">
        <v>-2111.0110079119299</v>
      </c>
      <c r="K614" s="15">
        <v>17.9832417582417</v>
      </c>
      <c r="L614" s="9">
        <f t="shared" si="540"/>
        <v>5.9461793650793689E-2</v>
      </c>
      <c r="M614" s="2">
        <f t="shared" si="541"/>
        <v>0</v>
      </c>
      <c r="N614" s="16" t="e">
        <f t="shared" si="551"/>
        <v>#DIV/0!</v>
      </c>
    </row>
    <row r="615" spans="4:14" ht="17">
      <c r="D615" s="11">
        <v>9.2396825396825394E-2</v>
      </c>
      <c r="E615" s="2">
        <f t="shared" si="549"/>
        <v>0</v>
      </c>
      <c r="F615" s="11">
        <v>2.3295111111111114E-2</v>
      </c>
      <c r="G615" s="2">
        <f t="shared" si="550"/>
        <v>0</v>
      </c>
      <c r="I615" s="11">
        <v>2.3295111111111114E-2</v>
      </c>
      <c r="J615">
        <v>-2114.7055383556899</v>
      </c>
      <c r="K615" s="15">
        <v>18.010000000000002</v>
      </c>
      <c r="L615" s="9">
        <f t="shared" si="540"/>
        <v>6.0057936507936505E-2</v>
      </c>
      <c r="M615" s="2">
        <f t="shared" si="541"/>
        <v>0</v>
      </c>
      <c r="N615" s="16" t="e">
        <f t="shared" si="551"/>
        <v>#DIV/0!</v>
      </c>
    </row>
    <row r="616" spans="4:14" ht="17">
      <c r="D616" s="11">
        <v>9.3313968253968302E-2</v>
      </c>
      <c r="E616" s="2">
        <f t="shared" si="549"/>
        <v>0</v>
      </c>
      <c r="F616" s="11">
        <v>2.3383911111111128E-2</v>
      </c>
      <c r="G616" s="2">
        <f t="shared" si="550"/>
        <v>0</v>
      </c>
      <c r="I616" s="11">
        <v>2.3383911111111128E-2</v>
      </c>
      <c r="J616">
        <v>-2118.4000687994499</v>
      </c>
      <c r="K616" s="15">
        <v>18.0367582417582</v>
      </c>
      <c r="L616" s="9">
        <f t="shared" si="540"/>
        <v>6.0654079365079397E-2</v>
      </c>
      <c r="M616" s="2">
        <f t="shared" si="541"/>
        <v>0</v>
      </c>
      <c r="N616" s="16" t="e">
        <f t="shared" si="551"/>
        <v>#DIV/0!</v>
      </c>
    </row>
    <row r="617" spans="4:14" ht="17">
      <c r="D617" s="11">
        <v>9.4231111111111196E-2</v>
      </c>
      <c r="E617" s="2">
        <f t="shared" si="549"/>
        <v>0</v>
      </c>
      <c r="F617" s="11">
        <v>2.3948711111111139E-2</v>
      </c>
      <c r="G617" s="2">
        <f t="shared" si="550"/>
        <v>0</v>
      </c>
      <c r="I617" s="11">
        <v>2.3948711111111139E-2</v>
      </c>
      <c r="J617">
        <v>-2122.0945992431998</v>
      </c>
      <c r="K617" s="15">
        <v>18.063516483516501</v>
      </c>
      <c r="L617" s="9">
        <f t="shared" si="540"/>
        <v>6.1250222222222282E-2</v>
      </c>
      <c r="M617" s="2">
        <f t="shared" si="541"/>
        <v>0</v>
      </c>
      <c r="N617" s="16" t="e">
        <f t="shared" si="551"/>
        <v>#DIV/0!</v>
      </c>
    </row>
    <row r="618" spans="4:14" ht="17">
      <c r="D618" s="11">
        <v>9.5148253968254007E-2</v>
      </c>
      <c r="E618" s="2">
        <f t="shared" si="549"/>
        <v>0</v>
      </c>
      <c r="F618" s="11">
        <v>2.3897511111111124E-2</v>
      </c>
      <c r="G618" s="2">
        <f t="shared" si="550"/>
        <v>0</v>
      </c>
      <c r="I618" s="11">
        <v>2.3897511111111124E-2</v>
      </c>
      <c r="J618">
        <v>-2125.7891296869602</v>
      </c>
      <c r="K618" s="15">
        <v>18.0902747252747</v>
      </c>
      <c r="L618" s="9">
        <f t="shared" si="540"/>
        <v>6.1846365079365105E-2</v>
      </c>
      <c r="M618" s="2">
        <f t="shared" si="541"/>
        <v>0</v>
      </c>
      <c r="N618" s="16" t="e">
        <f t="shared" si="551"/>
        <v>#DIV/0!</v>
      </c>
    </row>
    <row r="619" spans="4:14" ht="17">
      <c r="D619" s="11">
        <v>9.6065396825396901E-2</v>
      </c>
      <c r="E619" s="2">
        <f t="shared" si="549"/>
        <v>0</v>
      </c>
      <c r="F619" s="11">
        <v>2.4770311111111137E-2</v>
      </c>
      <c r="G619" s="2">
        <f t="shared" si="550"/>
        <v>0</v>
      </c>
      <c r="I619" s="11">
        <v>2.4770311111111137E-2</v>
      </c>
      <c r="J619">
        <v>-2129.4836601307202</v>
      </c>
      <c r="K619" s="15">
        <v>18.117032967033001</v>
      </c>
      <c r="L619" s="9">
        <f t="shared" si="540"/>
        <v>6.244250793650799E-2</v>
      </c>
      <c r="M619" s="2">
        <f t="shared" si="541"/>
        <v>0</v>
      </c>
      <c r="N619" s="16" t="e">
        <f t="shared" si="551"/>
        <v>#DIV/0!</v>
      </c>
    </row>
    <row r="620" spans="4:14" ht="17">
      <c r="D620" s="11">
        <v>6.8777142857142898E-2</v>
      </c>
      <c r="E620" s="2">
        <f t="shared" si="549"/>
        <v>0</v>
      </c>
      <c r="F620" s="11">
        <v>1.6121600000000014E-2</v>
      </c>
      <c r="G620" s="2">
        <f t="shared" si="550"/>
        <v>0</v>
      </c>
      <c r="I620" s="11">
        <v>1.6121600000000014E-2</v>
      </c>
      <c r="J620">
        <v>-2133.1781905744701</v>
      </c>
      <c r="K620" s="15">
        <v>18.1437912087912</v>
      </c>
      <c r="L620" s="9">
        <f t="shared" si="540"/>
        <v>4.4705142857142888E-2</v>
      </c>
      <c r="M620" s="2">
        <f t="shared" si="541"/>
        <v>0</v>
      </c>
      <c r="N620" s="16" t="e">
        <f t="shared" si="551"/>
        <v>#DIV/0!</v>
      </c>
    </row>
    <row r="621" spans="4:14" ht="17">
      <c r="D621" s="11">
        <v>6.9602857142857105E-2</v>
      </c>
      <c r="E621" s="2">
        <f t="shared" si="549"/>
        <v>0</v>
      </c>
      <c r="F621" s="11">
        <v>1.6436799999999988E-2</v>
      </c>
      <c r="G621" s="2">
        <f t="shared" si="550"/>
        <v>0</v>
      </c>
      <c r="I621" s="11">
        <v>1.6436799999999988E-2</v>
      </c>
      <c r="J621">
        <v>-2136.8727210182301</v>
      </c>
      <c r="K621" s="15">
        <v>18.170549450549402</v>
      </c>
      <c r="L621" s="9">
        <f t="shared" si="540"/>
        <v>4.5241857142857118E-2</v>
      </c>
      <c r="M621" s="2">
        <f t="shared" si="541"/>
        <v>0</v>
      </c>
      <c r="N621" s="16" t="e">
        <f t="shared" si="551"/>
        <v>#DIV/0!</v>
      </c>
    </row>
    <row r="622" spans="4:14" ht="17">
      <c r="D622" s="11">
        <v>7.0428571428571396E-2</v>
      </c>
      <c r="E622" s="2">
        <f t="shared" si="549"/>
        <v>0</v>
      </c>
      <c r="F622" s="11">
        <v>1.6751999999999993E-2</v>
      </c>
      <c r="G622" s="2">
        <f t="shared" si="550"/>
        <v>0</v>
      </c>
      <c r="I622" s="11">
        <v>1.6751999999999993E-2</v>
      </c>
      <c r="J622">
        <v>-2140.5672514619901</v>
      </c>
      <c r="K622" s="15">
        <v>18.1973076923077</v>
      </c>
      <c r="L622" s="9">
        <f t="shared" si="540"/>
        <v>4.5778571428571412E-2</v>
      </c>
      <c r="M622" s="2">
        <f t="shared" si="541"/>
        <v>0</v>
      </c>
      <c r="N622" s="16" t="e">
        <f t="shared" si="551"/>
        <v>#DIV/0!</v>
      </c>
    </row>
    <row r="623" spans="4:14" ht="17">
      <c r="D623" s="11">
        <v>6.3822857142857098E-2</v>
      </c>
      <c r="E623" s="2">
        <f t="shared" si="549"/>
        <v>0</v>
      </c>
      <c r="F623" s="11">
        <v>1.7030399999999991E-2</v>
      </c>
      <c r="G623" s="2">
        <f t="shared" si="550"/>
        <v>0</v>
      </c>
      <c r="I623" s="11">
        <v>1.7030399999999991E-2</v>
      </c>
      <c r="J623">
        <v>-2144.26178190574</v>
      </c>
      <c r="K623" s="15">
        <v>18.224065934065901</v>
      </c>
      <c r="L623" s="9">
        <f t="shared" si="540"/>
        <v>4.1484857142857115E-2</v>
      </c>
      <c r="M623" s="2">
        <f t="shared" si="541"/>
        <v>0</v>
      </c>
      <c r="N623" s="16" t="e">
        <f t="shared" si="551"/>
        <v>#DIV/0!</v>
      </c>
    </row>
    <row r="624" spans="4:14" ht="17">
      <c r="D624" s="11">
        <v>6.4648571428571402E-2</v>
      </c>
      <c r="E624" s="2">
        <f t="shared" si="549"/>
        <v>0</v>
      </c>
      <c r="F624" s="11">
        <v>1.5525599999999994E-2</v>
      </c>
      <c r="G624" s="2">
        <f t="shared" si="550"/>
        <v>0</v>
      </c>
      <c r="I624" s="11">
        <v>1.5525599999999994E-2</v>
      </c>
      <c r="J624">
        <v>-2147.9563123495</v>
      </c>
      <c r="K624" s="15">
        <v>18.250824175824199</v>
      </c>
      <c r="L624" s="9">
        <f t="shared" si="540"/>
        <v>4.2021571428571415E-2</v>
      </c>
      <c r="M624" s="2">
        <f t="shared" si="541"/>
        <v>0</v>
      </c>
      <c r="N624" s="16" t="e">
        <f t="shared" si="551"/>
        <v>#DIV/0!</v>
      </c>
    </row>
    <row r="625" spans="4:14" ht="17">
      <c r="D625" s="11">
        <v>6.5474285714285693E-2</v>
      </c>
      <c r="E625" s="2">
        <f t="shared" si="549"/>
        <v>0</v>
      </c>
      <c r="F625" s="11">
        <v>2.3159911111111126E-2</v>
      </c>
      <c r="G625" s="2">
        <f t="shared" si="550"/>
        <v>0</v>
      </c>
      <c r="I625" s="11">
        <v>2.3159911111111126E-2</v>
      </c>
      <c r="J625">
        <v>-2151.6508427932599</v>
      </c>
      <c r="K625" s="15">
        <v>18.277582417582401</v>
      </c>
      <c r="L625" s="9">
        <f t="shared" si="540"/>
        <v>4.2558285714285701E-2</v>
      </c>
      <c r="M625" s="2">
        <f t="shared" si="541"/>
        <v>0</v>
      </c>
      <c r="N625" s="16" t="e">
        <f t="shared" si="551"/>
        <v>#DIV/0!</v>
      </c>
    </row>
    <row r="626" spans="4:14" ht="17">
      <c r="D626" s="11">
        <v>6.6299999999999998E-2</v>
      </c>
      <c r="E626" s="2">
        <f t="shared" si="549"/>
        <v>0</v>
      </c>
      <c r="F626" s="11">
        <v>2.5544711111111135E-2</v>
      </c>
      <c r="G626" s="2">
        <f t="shared" si="550"/>
        <v>0</v>
      </c>
      <c r="I626" s="11">
        <v>2.5544711111111135E-2</v>
      </c>
      <c r="J626">
        <v>-2155.3453732370099</v>
      </c>
      <c r="K626" s="15">
        <v>18.3043406593406</v>
      </c>
      <c r="L626" s="9">
        <f t="shared" si="540"/>
        <v>4.3095000000000001E-2</v>
      </c>
      <c r="M626" s="2">
        <f t="shared" si="541"/>
        <v>0</v>
      </c>
      <c r="N626" s="16" t="e">
        <f t="shared" si="551"/>
        <v>#DIV/0!</v>
      </c>
    </row>
    <row r="627" spans="4:14" ht="17">
      <c r="D627" s="11">
        <v>6.7125714285714302E-2</v>
      </c>
      <c r="E627" s="2">
        <f t="shared" si="549"/>
        <v>0</v>
      </c>
      <c r="F627" s="11">
        <v>2.4065511111111122E-2</v>
      </c>
      <c r="G627" s="2">
        <f t="shared" si="550"/>
        <v>0</v>
      </c>
      <c r="I627" s="11">
        <v>2.4065511111111122E-2</v>
      </c>
      <c r="J627">
        <v>-2159.0399036807698</v>
      </c>
      <c r="K627" s="15">
        <v>18.331098901098901</v>
      </c>
      <c r="L627" s="9">
        <f t="shared" si="540"/>
        <v>4.3631714285714301E-2</v>
      </c>
      <c r="M627" s="2">
        <f t="shared" si="541"/>
        <v>0</v>
      </c>
      <c r="N627" s="16" t="e">
        <f t="shared" si="551"/>
        <v>#DIV/0!</v>
      </c>
    </row>
    <row r="628" spans="4:14" ht="17">
      <c r="D628" s="11">
        <v>6.7951428571428593E-2</v>
      </c>
      <c r="E628" s="2">
        <f t="shared" si="549"/>
        <v>0</v>
      </c>
      <c r="F628" s="11">
        <v>2.4154311111111135E-2</v>
      </c>
      <c r="G628" s="2">
        <f t="shared" si="550"/>
        <v>0</v>
      </c>
      <c r="I628" s="11">
        <v>2.4154311111111135E-2</v>
      </c>
      <c r="J628">
        <v>-2162.7344341245298</v>
      </c>
      <c r="K628" s="15">
        <v>18.3578571428571</v>
      </c>
      <c r="L628" s="9">
        <f t="shared" si="540"/>
        <v>4.4168428571428588E-2</v>
      </c>
      <c r="M628" s="2">
        <f t="shared" si="541"/>
        <v>0</v>
      </c>
      <c r="N628" s="16" t="e">
        <f t="shared" si="551"/>
        <v>#DIV/0!</v>
      </c>
    </row>
    <row r="629" spans="4:14" ht="17">
      <c r="D629" s="11">
        <v>6.8777142857142898E-2</v>
      </c>
      <c r="E629" s="2">
        <f t="shared" si="549"/>
        <v>0</v>
      </c>
      <c r="F629" s="11">
        <v>1.4604800000000001E-2</v>
      </c>
      <c r="G629" s="2">
        <f t="shared" si="550"/>
        <v>0</v>
      </c>
      <c r="I629" s="11">
        <v>1.4604800000000001E-2</v>
      </c>
      <c r="J629">
        <v>-2166.4289645682802</v>
      </c>
      <c r="K629" s="15">
        <v>18.384615384615401</v>
      </c>
      <c r="L629" s="9">
        <f t="shared" si="540"/>
        <v>4.4705142857142888E-2</v>
      </c>
      <c r="M629" s="2">
        <f t="shared" si="541"/>
        <v>0</v>
      </c>
      <c r="N629" s="16" t="e">
        <f t="shared" si="551"/>
        <v>#DIV/0!</v>
      </c>
    </row>
    <row r="630" spans="4:14" ht="17">
      <c r="D630" s="11">
        <v>6.9602857142857105E-2</v>
      </c>
      <c r="E630" s="2">
        <f t="shared" si="549"/>
        <v>0</v>
      </c>
      <c r="F630" s="11">
        <v>1.4133600000000014E-2</v>
      </c>
      <c r="G630" s="2">
        <f t="shared" si="550"/>
        <v>0</v>
      </c>
      <c r="I630" s="11">
        <v>1.4133600000000014E-2</v>
      </c>
      <c r="J630">
        <v>-2170.1234950120402</v>
      </c>
      <c r="K630" s="15">
        <v>18.411373626373599</v>
      </c>
      <c r="L630" s="9">
        <f t="shared" si="540"/>
        <v>4.5241857142857118E-2</v>
      </c>
      <c r="M630" s="2">
        <f t="shared" si="541"/>
        <v>0</v>
      </c>
      <c r="N630" s="16" t="e">
        <f t="shared" si="551"/>
        <v>#DIV/0!</v>
      </c>
    </row>
    <row r="631" spans="4:14" ht="17">
      <c r="D631" s="11">
        <v>7.0428571428571396E-2</v>
      </c>
      <c r="E631" s="2">
        <f t="shared" si="549"/>
        <v>0</v>
      </c>
      <c r="F631" s="11">
        <v>2.1252E-2</v>
      </c>
      <c r="G631" s="2">
        <f t="shared" si="550"/>
        <v>0</v>
      </c>
      <c r="I631" s="11">
        <v>2.1252E-2</v>
      </c>
      <c r="J631">
        <v>-2173.8180254557901</v>
      </c>
      <c r="K631" s="15">
        <v>18.438131868131801</v>
      </c>
      <c r="L631" s="9">
        <f t="shared" si="540"/>
        <v>4.5778571428571412E-2</v>
      </c>
      <c r="M631" s="2">
        <f t="shared" si="541"/>
        <v>0</v>
      </c>
      <c r="N631" s="16" t="e">
        <f t="shared" si="551"/>
        <v>#DIV/0!</v>
      </c>
    </row>
    <row r="632" spans="4:14" ht="17">
      <c r="D632" s="11">
        <v>7.1254285714285701E-2</v>
      </c>
      <c r="E632" s="2">
        <f t="shared" si="549"/>
        <v>0</v>
      </c>
      <c r="F632" s="11">
        <v>2.2008000000000003E-2</v>
      </c>
      <c r="G632" s="2">
        <f t="shared" si="550"/>
        <v>0</v>
      </c>
      <c r="I632" s="11">
        <v>2.2008000000000003E-2</v>
      </c>
      <c r="J632">
        <v>-2177.5125558995501</v>
      </c>
      <c r="K632" s="15">
        <v>18.464890109890099</v>
      </c>
      <c r="L632" s="9">
        <f t="shared" si="540"/>
        <v>4.6315285714285705E-2</v>
      </c>
      <c r="M632" s="2">
        <f t="shared" si="541"/>
        <v>0</v>
      </c>
      <c r="N632" s="16" t="e">
        <f t="shared" si="551"/>
        <v>#DIV/0!</v>
      </c>
    </row>
    <row r="633" spans="4:14" ht="17">
      <c r="D633" s="11">
        <v>7.8932522481188497E-2</v>
      </c>
      <c r="E633" s="2">
        <f t="shared" si="549"/>
        <v>0</v>
      </c>
      <c r="F633" s="11">
        <v>2.0027261615646715E-2</v>
      </c>
      <c r="G633" s="2">
        <f t="shared" si="550"/>
        <v>0</v>
      </c>
      <c r="I633" s="11">
        <v>2.0027261615646715E-2</v>
      </c>
      <c r="J633">
        <v>-2181.20708634331</v>
      </c>
      <c r="K633" s="15">
        <v>18.491648351648301</v>
      </c>
      <c r="L633" s="9">
        <f t="shared" si="540"/>
        <v>5.1306139612772528E-2</v>
      </c>
      <c r="M633" s="2">
        <f t="shared" si="541"/>
        <v>0</v>
      </c>
      <c r="N633" s="16" t="e">
        <f t="shared" si="551"/>
        <v>#DIV/0!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A2F60-7F9C-3C45-A8C3-52067D4FDACF}">
  <dimension ref="A1:F44"/>
  <sheetViews>
    <sheetView tabSelected="1" topLeftCell="A12" workbookViewId="0">
      <selection activeCell="C43" sqref="C43"/>
    </sheetView>
  </sheetViews>
  <sheetFormatPr baseColWidth="10" defaultRowHeight="16"/>
  <cols>
    <col min="1" max="3" width="21.1640625" customWidth="1"/>
  </cols>
  <sheetData>
    <row r="1" spans="1:6" ht="17" thickBot="1">
      <c r="A1" s="19" t="s">
        <v>583</v>
      </c>
      <c r="B1" s="20"/>
    </row>
    <row r="2" spans="1:6" ht="17" thickBot="1">
      <c r="A2" s="17" t="s">
        <v>0</v>
      </c>
      <c r="B2" s="21">
        <f>SUM(原始数据!B2:B301)*1.2</f>
        <v>42362521.044820048</v>
      </c>
    </row>
    <row r="3" spans="1:6" ht="17" thickBot="1">
      <c r="A3" s="17" t="s">
        <v>3</v>
      </c>
      <c r="B3" s="22">
        <f>B2*36.98%</f>
        <v>15665660.282374453</v>
      </c>
    </row>
    <row r="4" spans="1:6" ht="18" thickBot="1">
      <c r="A4" s="18" t="s">
        <v>575</v>
      </c>
      <c r="B4" s="23">
        <f>AVERAGE(原始数据!L2:L47)*0.87</f>
        <v>4.6758088457556933E-2</v>
      </c>
    </row>
    <row r="5" spans="1:6" ht="17" thickBot="1">
      <c r="A5" s="17" t="s">
        <v>4</v>
      </c>
      <c r="B5" s="22">
        <f>B3*B4</f>
        <v>732496.32922930096</v>
      </c>
    </row>
    <row r="6" spans="1:6" ht="17" thickBot="1">
      <c r="A6" s="17" t="s">
        <v>578</v>
      </c>
      <c r="B6" s="22">
        <f>B5*1.02</f>
        <v>747146.25581388699</v>
      </c>
    </row>
    <row r="7" spans="1:6" ht="18" thickBot="1">
      <c r="A7" s="18" t="s">
        <v>573</v>
      </c>
      <c r="B7" s="23">
        <f>AVERAGE(原始数据!I2:I141)*1.1</f>
        <v>2.3113667936507945E-2</v>
      </c>
    </row>
    <row r="8" spans="1:6" ht="17" thickBot="1">
      <c r="A8" s="17" t="s">
        <v>584</v>
      </c>
      <c r="B8" s="21">
        <f>B3*B4*B7</f>
        <v>16930.67691851706</v>
      </c>
      <c r="D8">
        <f>B8/300</f>
        <v>56.435589728390198</v>
      </c>
    </row>
    <row r="9" spans="1:6" ht="17" thickBot="1">
      <c r="A9" s="17" t="s">
        <v>586</v>
      </c>
      <c r="B9" s="21">
        <f>SUM(原始数据!G2:G31)*30</f>
        <v>1500715.3716639294</v>
      </c>
    </row>
    <row r="10" spans="1:6" ht="17" thickBot="1">
      <c r="A10" s="17" t="s">
        <v>585</v>
      </c>
      <c r="B10" s="24">
        <f>B9/B6</f>
        <v>2.0085965230852412</v>
      </c>
    </row>
    <row r="16" spans="1:6">
      <c r="A16" s="28"/>
      <c r="B16" s="28" t="s">
        <v>587</v>
      </c>
      <c r="C16" s="28" t="s">
        <v>588</v>
      </c>
      <c r="D16" s="28" t="s">
        <v>591</v>
      </c>
      <c r="F16" s="8">
        <f>94/89-1</f>
        <v>5.6179775280898792E-2</v>
      </c>
    </row>
    <row r="17" spans="1:4" ht="17" thickBot="1">
      <c r="A17" s="26" t="s">
        <v>0</v>
      </c>
      <c r="B17" s="29">
        <f>B2*0.5298</f>
        <v>22443663.649545662</v>
      </c>
      <c r="C17" s="29">
        <f>B2*93%*0.52</f>
        <v>20486515.177274976</v>
      </c>
      <c r="D17" s="30">
        <f>B17/C17-1</f>
        <v>9.553349875930528E-2</v>
      </c>
    </row>
    <row r="18" spans="1:4" ht="17" thickBot="1">
      <c r="A18" s="26" t="s">
        <v>590</v>
      </c>
      <c r="B18" s="30">
        <v>0.40649999999999997</v>
      </c>
      <c r="C18" s="30">
        <v>0.40079999999999999</v>
      </c>
      <c r="D18" s="30">
        <f t="shared" ref="D18:D26" si="0">B18/C18-1</f>
        <v>1.4221556886227393E-2</v>
      </c>
    </row>
    <row r="19" spans="1:4" ht="17" thickBot="1">
      <c r="A19" s="26" t="s">
        <v>589</v>
      </c>
      <c r="B19" s="29">
        <f>B17*B18</f>
        <v>9123349.2735403106</v>
      </c>
      <c r="C19" s="29">
        <f>C17*C18</f>
        <v>8210995.2830518102</v>
      </c>
      <c r="D19" s="30">
        <f t="shared" si="0"/>
        <v>0.11111369073267841</v>
      </c>
    </row>
    <row r="20" spans="1:4" ht="20" thickBot="1">
      <c r="A20" s="31" t="s">
        <v>592</v>
      </c>
      <c r="B20" s="30">
        <f>B4*1.12</f>
        <v>5.2369059072463767E-2</v>
      </c>
      <c r="C20" s="30">
        <f>B4*1.076</f>
        <v>5.0311703180331263E-2</v>
      </c>
      <c r="D20" s="30">
        <f t="shared" si="0"/>
        <v>4.0892193308550207E-2</v>
      </c>
    </row>
    <row r="21" spans="1:4" ht="17" thickBot="1">
      <c r="A21" s="26" t="s">
        <v>4</v>
      </c>
      <c r="B21" s="29">
        <f>B17*B18*B20</f>
        <v>477781.21704475192</v>
      </c>
      <c r="C21" s="29"/>
      <c r="D21" s="30"/>
    </row>
    <row r="22" spans="1:4" ht="17" thickBot="1">
      <c r="A22" s="26" t="s">
        <v>578</v>
      </c>
      <c r="B22" s="29">
        <f>B21*1.48</f>
        <v>707116.20122623281</v>
      </c>
      <c r="C22" s="25"/>
      <c r="D22" s="30"/>
    </row>
    <row r="23" spans="1:4" ht="18" thickBot="1">
      <c r="A23" s="27" t="s">
        <v>573</v>
      </c>
      <c r="B23" s="32">
        <v>2.3400000000000001E-2</v>
      </c>
      <c r="C23" s="32">
        <v>2.3199999999999998E-2</v>
      </c>
      <c r="D23" s="30">
        <f t="shared" si="0"/>
        <v>8.6206896551725976E-3</v>
      </c>
    </row>
    <row r="24" spans="1:4" ht="17" thickBot="1">
      <c r="A24" s="26" t="s">
        <v>584</v>
      </c>
      <c r="B24" s="29">
        <f>B21*B23</f>
        <v>11180.080478847196</v>
      </c>
      <c r="C24" s="29"/>
      <c r="D24" s="30"/>
    </row>
    <row r="25" spans="1:4" ht="17" thickBot="1">
      <c r="A25" s="26" t="s">
        <v>586</v>
      </c>
      <c r="B25" s="29">
        <f>B24*140</f>
        <v>1565211.2670386075</v>
      </c>
      <c r="C25" s="25"/>
      <c r="D25" s="30"/>
    </row>
    <row r="26" spans="1:4" ht="17" thickBot="1">
      <c r="A26" s="26" t="s">
        <v>585</v>
      </c>
      <c r="B26" s="33">
        <f>B25/B22</f>
        <v>2.2135135135135138</v>
      </c>
      <c r="C26" s="25"/>
      <c r="D26" s="30"/>
    </row>
    <row r="34" spans="1:4">
      <c r="A34" s="28"/>
      <c r="B34" s="28" t="s">
        <v>587</v>
      </c>
      <c r="C34" s="28" t="s">
        <v>593</v>
      </c>
      <c r="D34" s="28" t="s">
        <v>591</v>
      </c>
    </row>
    <row r="35" spans="1:4" ht="17" thickBot="1">
      <c r="A35" s="26" t="s">
        <v>0</v>
      </c>
      <c r="B35" s="29">
        <f>B17*1.0123*1.06</f>
        <v>24082903.955181181</v>
      </c>
      <c r="C35" s="29">
        <f>C17*1.12837*1.06</f>
        <v>24503351.278416675</v>
      </c>
      <c r="D35" s="30">
        <f>C35/B35-1</f>
        <v>1.7458331603944277E-2</v>
      </c>
    </row>
    <row r="36" spans="1:4" ht="17" thickBot="1">
      <c r="A36" s="26" t="s">
        <v>590</v>
      </c>
      <c r="B36" s="30">
        <v>0.40720000000000001</v>
      </c>
      <c r="C36" s="30">
        <v>0.41899999999999998</v>
      </c>
      <c r="D36" s="30">
        <f t="shared" ref="D36:D44" si="1">C36/B36-1</f>
        <v>2.8978388998035287E-2</v>
      </c>
    </row>
    <row r="37" spans="1:4" ht="17" thickBot="1">
      <c r="A37" s="26" t="s">
        <v>589</v>
      </c>
      <c r="B37" s="29">
        <f>B35*B36</f>
        <v>9806558.4905497767</v>
      </c>
      <c r="C37" s="29">
        <f>C35*C36</f>
        <v>10266904.185656587</v>
      </c>
      <c r="D37" s="30">
        <f t="shared" si="1"/>
        <v>4.6942634926455451E-2</v>
      </c>
    </row>
    <row r="38" spans="1:4" ht="20" thickBot="1">
      <c r="A38" s="31" t="s">
        <v>592</v>
      </c>
      <c r="B38" s="30">
        <v>5.2200000000000003E-2</v>
      </c>
      <c r="C38" s="30">
        <v>5.3900000000000003E-2</v>
      </c>
      <c r="D38" s="30">
        <f t="shared" si="1"/>
        <v>3.2567049808429172E-2</v>
      </c>
    </row>
    <row r="39" spans="1:4" ht="17" thickBot="1">
      <c r="A39" s="26" t="s">
        <v>4</v>
      </c>
      <c r="B39" s="29">
        <f>B35*B36*B38</f>
        <v>511902.35320669838</v>
      </c>
      <c r="C39" s="29">
        <f>C35*C36*C38</f>
        <v>553386.13560689008</v>
      </c>
      <c r="D39" s="30">
        <f t="shared" si="1"/>
        <v>8.1038467864673391E-2</v>
      </c>
    </row>
    <row r="40" spans="1:4" ht="17" thickBot="1">
      <c r="A40" s="26" t="s">
        <v>578</v>
      </c>
      <c r="B40" s="29">
        <f>B39*1.48</f>
        <v>757615.48274591356</v>
      </c>
      <c r="C40" s="29">
        <f>C39*1.48</f>
        <v>819011.48069819727</v>
      </c>
      <c r="D40" s="30">
        <f t="shared" si="1"/>
        <v>8.1038467864673391E-2</v>
      </c>
    </row>
    <row r="41" spans="1:4" ht="18" thickBot="1">
      <c r="A41" s="27" t="s">
        <v>573</v>
      </c>
      <c r="B41" s="32">
        <v>2.3199999999999998E-2</v>
      </c>
      <c r="C41" s="32">
        <v>2.3800000000000002E-2</v>
      </c>
      <c r="D41" s="30">
        <f t="shared" si="1"/>
        <v>2.5862068965517349E-2</v>
      </c>
    </row>
    <row r="42" spans="1:4" ht="17" thickBot="1">
      <c r="A42" s="26" t="s">
        <v>584</v>
      </c>
      <c r="B42" s="29">
        <f>B39*B41</f>
        <v>11876.134594395402</v>
      </c>
      <c r="C42" s="29">
        <f>C39*C41</f>
        <v>13170.590027443985</v>
      </c>
      <c r="D42" s="30">
        <f t="shared" si="1"/>
        <v>0.10899635927496676</v>
      </c>
    </row>
    <row r="43" spans="1:4" ht="17" thickBot="1">
      <c r="A43" s="26" t="s">
        <v>586</v>
      </c>
      <c r="B43" s="29">
        <f>B42*140</f>
        <v>1662658.8432153563</v>
      </c>
      <c r="C43" s="29">
        <f>C42*141</f>
        <v>1857053.1938696019</v>
      </c>
      <c r="D43" s="30">
        <f t="shared" si="1"/>
        <v>0.11691776184121649</v>
      </c>
    </row>
    <row r="44" spans="1:4" ht="17" thickBot="1">
      <c r="A44" s="26" t="s">
        <v>585</v>
      </c>
      <c r="B44" s="33">
        <f>B43/B40</f>
        <v>2.1945945945945948</v>
      </c>
      <c r="C44" s="33">
        <f>C43/C40</f>
        <v>2.2674324324324329</v>
      </c>
      <c r="D44" s="30">
        <f t="shared" si="1"/>
        <v>3.318965517241379E-2</v>
      </c>
    </row>
  </sheetData>
  <mergeCells count="1">
    <mergeCell ref="A1:B1"/>
  </mergeCells>
  <phoneticPr fontId="2" type="noConversion"/>
  <pageMargins left="0.7" right="0.7" top="0.75" bottom="0.75" header="0.3" footer="0.3"/>
  <ignoredErrors>
    <ignoredError sqref="B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2024-08-29T20:41:45Z</dcterms:created>
  <dcterms:modified xsi:type="dcterms:W3CDTF">2024-08-30T09:57:24Z</dcterms:modified>
</cp:coreProperties>
</file>