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<sst xmlns="http://schemas.openxmlformats.org/spreadsheetml/2006/main" count="51" uniqueCount="30">
  <si>
    <t>酒店数量</t>
  </si>
  <si>
    <t>签约率</t>
  </si>
  <si>
    <t>历史曝光uv</t>
  </si>
  <si>
    <t>基础流量提升</t>
  </si>
  <si>
    <t>广告曝光uv</t>
  </si>
  <si>
    <t>费率</t>
  </si>
  <si>
    <t>历史总底价</t>
  </si>
  <si>
    <t>广告底价</t>
  </si>
  <si>
    <t>广告收入</t>
  </si>
  <si>
    <t>一期结果</t>
  </si>
  <si>
    <t>A组</t>
  </si>
  <si>
    <t>B组</t>
  </si>
  <si>
    <t>变化</t>
  </si>
  <si>
    <t>备注</t>
  </si>
  <si>
    <t>自然曝光uv</t>
  </si>
  <si>
    <t>流量提升比例</t>
  </si>
  <si>
    <t>ctr</t>
  </si>
  <si>
    <t>cvr</t>
  </si>
  <si>
    <t>自然流量订单</t>
  </si>
  <si>
    <t>广告订单</t>
  </si>
  <si>
    <t>理论上应该是签约率*广告曝光uv*ctr*cvr，这里gap了27.88%的订单，为什么？</t>
  </si>
  <si>
    <t>广告订单占比</t>
  </si>
  <si>
    <t>二期预估</t>
  </si>
  <si>
    <t>流量提升</t>
  </si>
  <si>
    <t>历史广告底价</t>
  </si>
  <si>
    <t>二期结果</t>
  </si>
  <si>
    <t>参与率</t>
  </si>
  <si>
    <t>C组</t>
  </si>
  <si>
    <t>变化1</t>
  </si>
  <si>
    <t>变化2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</si>
</sst>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%"/>
    <numFmt numFmtId="178" formatCode="0_);[Red]\(0\)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70C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  <xf numFmtId="10" fontId="0" fillId="0" borderId="1" xfId="0" applyNumberFormat="1" applyBorder="1">
      <alignment vertical="center"/>
    </xf>
    <xf numFmtId="0" fontId="1" fillId="0" borderId="0" xfId="0" applyFont="1">
      <alignment vertical="center"/>
    </xf>
    <xf numFmtId="9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176" fontId="0" fillId="0" borderId="1" xfId="0" applyNumberFormat="1" applyBorder="1">
      <alignment vertical="center"/>
    </xf>
    <xf numFmtId="10" fontId="0" fillId="0" borderId="1" xfId="3" applyNumberFormat="1" applyBorder="1">
      <alignment vertical="center"/>
    </xf>
    <xf numFmtId="0" fontId="0" fillId="2" borderId="1" xfId="0" applyFill="1" applyBorder="1">
      <alignment vertical="center"/>
    </xf>
    <xf numFmtId="177" fontId="0" fillId="0" borderId="1" xfId="0" applyNumberFormat="1" applyBorder="1">
      <alignment vertical="center"/>
    </xf>
    <xf numFmtId="10" fontId="0" fillId="0" borderId="0" xfId="0" applyNumberFormat="1">
      <alignment vertical="center"/>
    </xf>
    <xf numFmtId="178" fontId="0" fillId="0" borderId="1" xfId="3" applyNumberFormat="1" applyBorder="1">
      <alignment vertical="center"/>
    </xf>
    <xf numFmtId="9" fontId="0" fillId="0" borderId="1" xfId="3" applyNumberFormat="1" applyBorder="1">
      <alignment vertical="center"/>
    </xf>
    <xf numFmtId="10" fontId="2" fillId="0" borderId="1" xfId="3" applyNumberFormat="1" applyFont="1" applyBorder="1">
      <alignment vertical="center"/>
    </xf>
    <xf numFmtId="10" fontId="0" fillId="0" borderId="0" xfId="3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zoomScale="159" zoomScaleNormal="159" topLeftCell="A25" workbookViewId="0">
      <selection activeCell="G38" sqref="G38"/>
    </sheetView>
  </sheetViews>
  <sheetFormatPr defaultColWidth="9.23076923076923" defaultRowHeight="16.8"/>
  <cols>
    <col min="1" max="1" width="15.1538461538462" customWidth="1"/>
    <col min="2" max="2" width="10.3076923076923" customWidth="1"/>
    <col min="3" max="3" width="12.7692307692308" customWidth="1"/>
    <col min="4" max="4" width="15.1538461538462" customWidth="1"/>
    <col min="5" max="5" width="12.7692307692308" customWidth="1"/>
    <col min="6" max="6" width="15.1538461538462" customWidth="1"/>
    <col min="7" max="8" width="12.9230769230769"/>
    <col min="9" max="9" width="10.3076923076923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1000</v>
      </c>
      <c r="B2" s="4">
        <v>0.9</v>
      </c>
      <c r="C2" s="3">
        <v>108804066</v>
      </c>
      <c r="D2" s="5">
        <f>F2/(1-F2)</f>
        <v>0.0869565217391304</v>
      </c>
      <c r="E2" s="9">
        <f>D2*C2</f>
        <v>9461223.13043478</v>
      </c>
      <c r="F2" s="15">
        <v>0.08</v>
      </c>
      <c r="G2" s="9">
        <f>265*90%*A2*14*55*1.02234</f>
        <v>187747629.3</v>
      </c>
      <c r="H2" s="9">
        <f>G2*D2</f>
        <v>16325880.8086957</v>
      </c>
      <c r="I2" s="9">
        <f>H2*B2*F2</f>
        <v>1175463.41822609</v>
      </c>
    </row>
    <row r="5" spans="1:1">
      <c r="A5" s="6" t="s">
        <v>9</v>
      </c>
    </row>
    <row r="6" spans="1:3">
      <c r="A6" t="s">
        <v>1</v>
      </c>
      <c r="B6" s="7">
        <v>0.76</v>
      </c>
      <c r="C6" s="7">
        <v>0.92</v>
      </c>
    </row>
    <row r="7" spans="1:5">
      <c r="A7" s="8"/>
      <c r="B7" s="2" t="s">
        <v>10</v>
      </c>
      <c r="C7" s="2" t="s">
        <v>11</v>
      </c>
      <c r="D7" s="2" t="s">
        <v>12</v>
      </c>
      <c r="E7" t="s">
        <v>13</v>
      </c>
    </row>
    <row r="8" spans="1:4">
      <c r="A8" s="3" t="s">
        <v>14</v>
      </c>
      <c r="B8" s="3">
        <f>C2*0.56721</f>
        <v>61714754.27586</v>
      </c>
      <c r="C8" s="9">
        <f>B8*0.99867553</f>
        <v>61633014.9352642</v>
      </c>
      <c r="D8" s="10">
        <f>C8/B8-1</f>
        <v>-0.00132447000000002</v>
      </c>
    </row>
    <row r="9" spans="1:4">
      <c r="A9" s="3" t="s">
        <v>4</v>
      </c>
      <c r="B9" s="3"/>
      <c r="C9" s="9">
        <f>C8*9.7654%</f>
        <v>6018710.44048829</v>
      </c>
      <c r="D9" s="3"/>
    </row>
    <row r="10" spans="1:4">
      <c r="A10" s="3" t="s">
        <v>15</v>
      </c>
      <c r="B10" s="3"/>
      <c r="C10" s="10">
        <f>C9/C8</f>
        <v>0.097654</v>
      </c>
      <c r="D10" s="3"/>
    </row>
    <row r="11" spans="1:4">
      <c r="A11" s="3" t="s">
        <v>16</v>
      </c>
      <c r="B11" s="5">
        <v>0.0726</v>
      </c>
      <c r="C11" s="10">
        <f>B11*1.03542</f>
        <v>0.075171492</v>
      </c>
      <c r="D11" s="10">
        <f t="shared" ref="D11:D14" si="0">C11/B11-1</f>
        <v>0.03542</v>
      </c>
    </row>
    <row r="12" spans="1:4">
      <c r="A12" s="3" t="s">
        <v>17</v>
      </c>
      <c r="B12" s="5">
        <v>0.0812</v>
      </c>
      <c r="C12" s="5">
        <f>B12*1.006532</f>
        <v>0.0817303984</v>
      </c>
      <c r="D12" s="10">
        <f t="shared" si="0"/>
        <v>0.00653199999999998</v>
      </c>
    </row>
    <row r="13" spans="1:4">
      <c r="A13" s="3" t="s">
        <v>5</v>
      </c>
      <c r="B13" s="3"/>
      <c r="C13" s="5">
        <v>0.0965</v>
      </c>
      <c r="D13" s="3"/>
    </row>
    <row r="14" spans="1:4">
      <c r="A14" s="3" t="s">
        <v>18</v>
      </c>
      <c r="B14" s="9">
        <f>B8*B11*B12</f>
        <v>363815.882226708</v>
      </c>
      <c r="C14" s="9">
        <f>C8*C11*C12</f>
        <v>378660.669978986</v>
      </c>
      <c r="D14" s="10">
        <f t="shared" si="0"/>
        <v>0.0408030228406244</v>
      </c>
    </row>
    <row r="15" spans="1:5">
      <c r="A15" s="3" t="s">
        <v>19</v>
      </c>
      <c r="B15" s="3"/>
      <c r="C15" s="9">
        <f>C9*C11*C12*72.123%*76%</f>
        <v>20268.7801261162</v>
      </c>
      <c r="D15" s="10">
        <f>C15/(C9*C11*C12*B6)-1</f>
        <v>-0.27877</v>
      </c>
      <c r="E15" t="s">
        <v>20</v>
      </c>
    </row>
    <row r="16" spans="1:4">
      <c r="A16" s="3" t="s">
        <v>21</v>
      </c>
      <c r="B16" s="3"/>
      <c r="C16" s="10">
        <f>C15/C14</f>
        <v>0.0535275557592</v>
      </c>
      <c r="D16" s="3"/>
    </row>
    <row r="17" spans="1:5">
      <c r="A17" s="3" t="s">
        <v>8</v>
      </c>
      <c r="B17" s="3"/>
      <c r="C17" s="9">
        <f>C15*C13*1.02362*265*0.9</f>
        <v>477509.560204855</v>
      </c>
      <c r="D17" s="3"/>
      <c r="E17">
        <f>C17*2</f>
        <v>955019.12040971</v>
      </c>
    </row>
    <row r="20" spans="1:1">
      <c r="A20" t="s">
        <v>22</v>
      </c>
    </row>
    <row r="21" spans="1:7">
      <c r="A21" s="11" t="s">
        <v>0</v>
      </c>
      <c r="B21" s="11" t="s">
        <v>1</v>
      </c>
      <c r="C21" s="11" t="s">
        <v>4</v>
      </c>
      <c r="D21" s="11" t="s">
        <v>23</v>
      </c>
      <c r="E21" s="11" t="s">
        <v>5</v>
      </c>
      <c r="F21" s="11" t="s">
        <v>24</v>
      </c>
      <c r="G21" s="11" t="s">
        <v>8</v>
      </c>
    </row>
    <row r="22" spans="1:9">
      <c r="A22" s="3">
        <v>1000</v>
      </c>
      <c r="B22" s="12">
        <v>0.92</v>
      </c>
      <c r="C22" s="9">
        <f>2*C9*B22/B6</f>
        <v>14571614.7506559</v>
      </c>
      <c r="D22" s="10">
        <f>(C10+(E22/(1-E22)))/2</f>
        <v>0.0967507603224923</v>
      </c>
      <c r="E22" s="10">
        <f>(C13*A22*B6+A22*B22*8%)/(1000*B6+1000*B22)</f>
        <v>0.0874642857142857</v>
      </c>
      <c r="F22" s="9">
        <f>235*0.9*A2*14*44*1.01234*D22</f>
        <v>12760622.6964095</v>
      </c>
      <c r="G22" s="9">
        <f>F22*E22*B22</f>
        <v>1026810.84945808</v>
      </c>
      <c r="H22">
        <f>G22/2</f>
        <v>513405.424729042</v>
      </c>
      <c r="I22" s="17">
        <f>H22/C17-1</f>
        <v>0.0751730803228055</v>
      </c>
    </row>
    <row r="25" spans="1:1">
      <c r="A25" t="s">
        <v>25</v>
      </c>
    </row>
    <row r="26" spans="1:8">
      <c r="A26" t="s">
        <v>26</v>
      </c>
      <c r="B26" s="13">
        <v>0.898</v>
      </c>
      <c r="G26">
        <f>B26/B6-1</f>
        <v>0.181578947368421</v>
      </c>
      <c r="H26">
        <f>B28*0.916*B26/B6</f>
        <v>67595245.1781763</v>
      </c>
    </row>
    <row r="27" spans="1:6">
      <c r="A27" s="8"/>
      <c r="B27" s="2" t="s">
        <v>10</v>
      </c>
      <c r="C27" s="2" t="s">
        <v>11</v>
      </c>
      <c r="D27" s="2" t="s">
        <v>27</v>
      </c>
      <c r="E27" s="2" t="s">
        <v>28</v>
      </c>
      <c r="F27" s="2" t="s">
        <v>29</v>
      </c>
    </row>
    <row r="28" spans="1:6">
      <c r="A28" s="3" t="s">
        <v>14</v>
      </c>
      <c r="B28" s="3">
        <f>B8*1.011973</f>
        <v>62453665.0288049</v>
      </c>
      <c r="C28" s="9">
        <f>H26/2</f>
        <v>33797622.5890881</v>
      </c>
      <c r="D28" s="14">
        <f>C28*1.001875</f>
        <v>33860993.1314427</v>
      </c>
      <c r="E28" s="10">
        <f>(C28+D28)/B28-1</f>
        <v>0.0833409967105263</v>
      </c>
      <c r="F28" s="10">
        <f>D28/C28-1</f>
        <v>0.00187500000000007</v>
      </c>
    </row>
    <row r="29" spans="1:6">
      <c r="A29" s="3" t="s">
        <v>4</v>
      </c>
      <c r="B29" s="3"/>
      <c r="C29" s="9">
        <f>C28*9.7954%</f>
        <v>3310612.32309154</v>
      </c>
      <c r="D29" s="9">
        <f>D28*10.1254%</f>
        <v>3428560.9985311</v>
      </c>
      <c r="E29" s="10"/>
      <c r="F29" s="10">
        <f>D29/C29-1</f>
        <v>0.0356274501296525</v>
      </c>
    </row>
    <row r="30" spans="1:6">
      <c r="A30" s="3" t="s">
        <v>15</v>
      </c>
      <c r="B30" s="3"/>
      <c r="C30" s="10">
        <f>C29/C28</f>
        <v>0.097954</v>
      </c>
      <c r="D30" s="10">
        <f>D29/D28</f>
        <v>0.101254</v>
      </c>
      <c r="E30" s="10"/>
      <c r="F30" s="10">
        <f>D30/C30-1</f>
        <v>0.0336892827245441</v>
      </c>
    </row>
    <row r="31" spans="1:6">
      <c r="A31" s="3" t="s">
        <v>16</v>
      </c>
      <c r="B31" s="5">
        <v>0.0728</v>
      </c>
      <c r="C31" s="10">
        <f>B31*1.0382</f>
        <v>0.07558096</v>
      </c>
      <c r="D31" s="10">
        <f>C31*1.022863</f>
        <v>0.07730896748848</v>
      </c>
      <c r="E31" s="10">
        <f>C31/B31-1</f>
        <v>0.0382</v>
      </c>
      <c r="F31" s="10">
        <f>D31/C31-1</f>
        <v>0.0228630000000001</v>
      </c>
    </row>
    <row r="32" spans="1:6">
      <c r="A32" s="3" t="s">
        <v>17</v>
      </c>
      <c r="B32" s="5">
        <v>0.0809</v>
      </c>
      <c r="C32" s="5">
        <f>B32*1.007532</f>
        <v>0.0815093388</v>
      </c>
      <c r="D32" s="10">
        <f>C32*0.998276</f>
        <v>0.0813688166999088</v>
      </c>
      <c r="E32" s="10">
        <f>C32/B32-1</f>
        <v>0.00753200000000009</v>
      </c>
      <c r="F32" s="10">
        <f t="shared" ref="F32:F37" si="1">D32/C32-1</f>
        <v>-0.00172399999999984</v>
      </c>
    </row>
    <row r="33" spans="1:6">
      <c r="A33" s="3" t="s">
        <v>5</v>
      </c>
      <c r="B33" s="3"/>
      <c r="C33" s="5">
        <v>0.0965</v>
      </c>
      <c r="D33" s="5">
        <v>0.0957</v>
      </c>
      <c r="E33" s="10"/>
      <c r="F33" s="10">
        <f t="shared" si="1"/>
        <v>-0.00829015544041445</v>
      </c>
    </row>
    <row r="34" spans="1:6">
      <c r="A34" s="3" t="s">
        <v>18</v>
      </c>
      <c r="B34" s="9">
        <f>B28*B31*B32</f>
        <v>367822.109260447</v>
      </c>
      <c r="C34" s="9">
        <f>C28*C31*C32</f>
        <v>208212.081582378</v>
      </c>
      <c r="D34" s="9">
        <f>D28*D31*D32</f>
        <v>213003.904807797</v>
      </c>
      <c r="E34" s="10">
        <f>C34*2/B34-1</f>
        <v>0.13213467238832</v>
      </c>
      <c r="F34" s="10">
        <f t="shared" si="1"/>
        <v>0.0230141459083528</v>
      </c>
    </row>
    <row r="35" spans="1:6">
      <c r="A35" s="3" t="s">
        <v>19</v>
      </c>
      <c r="B35" s="3"/>
      <c r="C35" s="9">
        <f>C29*C31*C32*73.213%*B26</f>
        <v>13408.8842249062</v>
      </c>
      <c r="D35" s="9">
        <f>D29*D31*D32*77.123%*B26</f>
        <v>14936.8839001363</v>
      </c>
      <c r="E35" s="16">
        <f>D35/(D29*D31*D32*B26)-1</f>
        <v>-0.22877</v>
      </c>
      <c r="F35" s="10">
        <f t="shared" si="1"/>
        <v>0.113954274613831</v>
      </c>
    </row>
    <row r="36" spans="1:6">
      <c r="A36" s="3" t="s">
        <v>21</v>
      </c>
      <c r="B36" s="3"/>
      <c r="C36" s="10">
        <f>C35/C34</f>
        <v>0.06440012569396</v>
      </c>
      <c r="D36" s="10">
        <f>D35/D34</f>
        <v>0.07012492993316</v>
      </c>
      <c r="E36" s="10"/>
      <c r="F36" s="10"/>
    </row>
    <row r="37" spans="1:7">
      <c r="A37" s="3" t="s">
        <v>8</v>
      </c>
      <c r="B37" s="3"/>
      <c r="C37" s="9">
        <f>C35*C33*1.02362*245*0.9</f>
        <v>292056.792252329</v>
      </c>
      <c r="D37" s="9">
        <f>D35*D33*1.02362*245*0.9</f>
        <v>322640.810297024</v>
      </c>
      <c r="E37" s="10"/>
      <c r="F37" s="10">
        <f t="shared" si="1"/>
        <v>0.104719420523768</v>
      </c>
      <c r="G37">
        <f>D37/0.25</f>
        <v>1290563.2411881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zhuzhaohui</dc:creator>
  <cp:lastModifiedBy>1，2—二溴乙烷</cp:lastModifiedBy>
  <dcterms:created xsi:type="dcterms:W3CDTF">2024-06-07T03:15:10Z</dcterms:created>
  <dcterms:modified xsi:type="dcterms:W3CDTF">2024-06-07T13:20:39Z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83A2D686FB039EC52E6D62665DC55FAC_41</vt:lpwstr>
  </property>
  <property fmtid="{D5CDD505-2E9C-101B-9397-08002B2CF9AE}" pid="3" name="KSOProductBuildVer">
    <vt:lpwstr>2052-6.7.1.8828</vt:lpwstr>
  </property>
</Properties>
</file>