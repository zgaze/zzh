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45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<sst xmlns="http://schemas.openxmlformats.org/spreadsheetml/2006/main" count="64" uniqueCount="33">
  <si>
    <t>行业</t>
  </si>
  <si>
    <t>广告数据</t>
  </si>
  <si>
    <t>直播数据</t>
  </si>
  <si>
    <t>客单价</t>
  </si>
  <si>
    <t>ACP</t>
  </si>
  <si>
    <t>ROI</t>
  </si>
  <si>
    <t>曝光uv</t>
  </si>
  <si>
    <t>ctr</t>
  </si>
  <si>
    <t>cvr</t>
  </si>
  <si>
    <t>浏览时长(秒)</t>
  </si>
  <si>
    <t>GTV</t>
  </si>
  <si>
    <t>餐饮</t>
  </si>
  <si>
    <t>生活服务</t>
  </si>
  <si>
    <t>丽人</t>
  </si>
  <si>
    <t>医美</t>
  </si>
  <si>
    <t>一期数据预测</t>
  </si>
  <si>
    <t>消耗</t>
  </si>
  <si>
    <t>一期数据结果，参与率41%</t>
  </si>
  <si>
    <t>自然曝光uv</t>
  </si>
  <si>
    <t>广告曝光uv</t>
  </si>
  <si>
    <t>曝光增长</t>
  </si>
  <si>
    <t>点击uv</t>
  </si>
  <si>
    <t>总计</t>
  </si>
  <si>
    <t>二期数据结果</t>
  </si>
  <si>
    <t>A组</t>
  </si>
  <si>
    <t>B组</t>
  </si>
  <si>
    <t>增长率</t>
  </si>
  <si>
    <t>三期数据结果</t>
  </si>
  <si>
    <t>C组</t>
  </si>
  <si>
    <t>D组</t>
  </si>
  <si>
    <t>增长率1</t>
  </si>
  <si>
    <t>增长率2</t>
  </si>
  <si>
    <t>观看时长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</si>
</sst>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_ "/>
    <numFmt numFmtId="177" formatCode="#,##0.00_ "/>
    <numFmt numFmtId="178" formatCode="0_ "/>
    <numFmt numFmtId="179" formatCode="0.0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1" fillId="0" borderId="1" xfId="0" applyFont="1" applyBorder="1">
      <alignment vertical="center"/>
    </xf>
    <xf numFmtId="176" fontId="0" fillId="0" borderId="1" xfId="0" applyNumberFormat="1" applyBorder="1">
      <alignment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1" fillId="2" borderId="1" xfId="0" applyFont="1" applyFill="1" applyBorder="1">
      <alignment vertical="center"/>
    </xf>
    <xf numFmtId="9" fontId="1" fillId="2" borderId="1" xfId="0" applyNumberFormat="1" applyFont="1" applyFill="1" applyBorder="1">
      <alignment vertical="center"/>
    </xf>
    <xf numFmtId="10" fontId="0" fillId="0" borderId="1" xfId="3" applyNumberFormat="1" applyBorder="1">
      <alignment vertical="center"/>
    </xf>
    <xf numFmtId="0" fontId="0" fillId="0" borderId="1" xfId="0" applyBorder="1">
      <alignment vertical="center"/>
    </xf>
    <xf numFmtId="178" fontId="0" fillId="0" borderId="1" xfId="3" applyNumberFormat="1" applyBorder="1">
      <alignment vertical="center"/>
    </xf>
    <xf numFmtId="10" fontId="0" fillId="0" borderId="1" xfId="0" applyNumberFormat="1" applyBorder="1">
      <alignment vertical="center"/>
    </xf>
    <xf numFmtId="178" fontId="1" fillId="0" borderId="1" xfId="0" applyNumberFormat="1" applyFont="1" applyBorder="1">
      <alignment vertical="center"/>
    </xf>
    <xf numFmtId="10" fontId="1" fillId="0" borderId="1" xfId="0" applyNumberFormat="1" applyFont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178" fontId="0" fillId="0" borderId="1" xfId="0" applyNumberFormat="1" applyFill="1" applyBorder="1" applyAlignment="1">
      <alignment vertical="center"/>
    </xf>
    <xf numFmtId="10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10" fontId="0" fillId="0" borderId="0" xfId="0" applyNumberFormat="1">
      <alignment vertical="center"/>
    </xf>
    <xf numFmtId="179" fontId="0" fillId="0" borderId="1" xfId="0" applyNumberFormat="1" applyBorder="1">
      <alignment vertical="center"/>
    </xf>
    <xf numFmtId="10" fontId="1" fillId="0" borderId="1" xfId="3" applyNumberFormat="1" applyFont="1" applyBorder="1">
      <alignment vertical="center"/>
    </xf>
    <xf numFmtId="177" fontId="1" fillId="0" borderId="1" xfId="0" applyNumberFormat="1" applyFont="1" applyBorder="1">
      <alignment vertical="center"/>
    </xf>
    <xf numFmtId="10" fontId="1" fillId="0" borderId="2" xfId="3" applyNumberFormat="1" applyFont="1" applyFill="1" applyBorder="1" applyAlignment="1">
      <alignment vertical="center"/>
    </xf>
    <xf numFmtId="10" fontId="0" fillId="0" borderId="0" xfId="3" applyNumberFormat="1">
      <alignment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9"/>
  <sheetViews>
    <sheetView tabSelected="1" topLeftCell="A25" workbookViewId="0">
      <selection activeCell="A41" sqref="A41:F49"/>
    </sheetView>
  </sheetViews>
  <sheetFormatPr defaultColWidth="9.23076923076923" defaultRowHeight="16.8"/>
  <cols>
    <col min="2" max="2" width="12.9230769230769"/>
    <col min="3" max="3" width="12.7692307692308" customWidth="1"/>
    <col min="4" max="4" width="10.3076923076923" customWidth="1"/>
    <col min="5" max="6" width="9.45192307692308" customWidth="1"/>
    <col min="7" max="7" width="14.1538461538462" customWidth="1"/>
    <col min="8" max="9" width="12.9230769230769"/>
    <col min="10" max="10" width="10.6923076923077"/>
    <col min="11" max="12" width="12.9230769230769"/>
    <col min="14" max="14" width="12.9230769230769"/>
  </cols>
  <sheetData>
    <row r="1" spans="1:14">
      <c r="A1" s="1" t="s">
        <v>0</v>
      </c>
      <c r="B1" s="2" t="s">
        <v>1</v>
      </c>
      <c r="C1" s="1"/>
      <c r="D1" s="1" t="s">
        <v>2</v>
      </c>
      <c r="E1" s="1"/>
      <c r="F1" s="1"/>
      <c r="G1" s="1"/>
      <c r="H1" s="1"/>
      <c r="N1" t="s">
        <v>3</v>
      </c>
    </row>
    <row r="2" spans="1:12">
      <c r="A2" s="1"/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J2">
        <f>150000000*0.3</f>
        <v>45000000</v>
      </c>
      <c r="K2">
        <v>1000000</v>
      </c>
      <c r="L2" s="35">
        <f>K2/J2</f>
        <v>0.0222222222222222</v>
      </c>
    </row>
    <row r="3" spans="1:14">
      <c r="A3" s="4" t="s">
        <v>11</v>
      </c>
      <c r="B3" s="5">
        <v>4.3</v>
      </c>
      <c r="C3" s="6">
        <v>8.56</v>
      </c>
      <c r="D3" s="7">
        <f>J2*71.3816323%</f>
        <v>32121734.535</v>
      </c>
      <c r="E3" s="17">
        <v>0.1023</v>
      </c>
      <c r="F3" s="17">
        <v>0.2747</v>
      </c>
      <c r="G3" s="15">
        <v>1389</v>
      </c>
      <c r="H3" s="15">
        <f>J3*56.36832%</f>
        <v>78915648</v>
      </c>
      <c r="J3">
        <v>140000000</v>
      </c>
      <c r="N3">
        <f>H3/(D3*E3*F3)</f>
        <v>87.4238333042871</v>
      </c>
    </row>
    <row r="4" spans="1:14">
      <c r="A4" s="4" t="s">
        <v>12</v>
      </c>
      <c r="B4" s="5">
        <v>2.3</v>
      </c>
      <c r="C4" s="6">
        <v>4.32</v>
      </c>
      <c r="D4" s="7">
        <f>J2*11.28736389%</f>
        <v>5079313.7505</v>
      </c>
      <c r="E4" s="17">
        <v>0.0798</v>
      </c>
      <c r="F4" s="17">
        <v>0.2211</v>
      </c>
      <c r="G4" s="15">
        <v>763</v>
      </c>
      <c r="H4" s="15">
        <f>J3*12.23704%</f>
        <v>17131856</v>
      </c>
      <c r="N4">
        <f>H4/(D4*E4*F4)</f>
        <v>191.16471833601</v>
      </c>
    </row>
    <row r="5" spans="1:14">
      <c r="A5" s="4" t="s">
        <v>13</v>
      </c>
      <c r="B5" s="5">
        <v>2.8</v>
      </c>
      <c r="C5" s="6">
        <v>2.21</v>
      </c>
      <c r="D5" s="7">
        <f>J2*3.489416%</f>
        <v>1570237.2</v>
      </c>
      <c r="E5" s="17">
        <v>0.0314</v>
      </c>
      <c r="F5" s="17">
        <v>0.1634</v>
      </c>
      <c r="G5" s="15">
        <v>874</v>
      </c>
      <c r="H5" s="15">
        <f>J3*2.29374%</f>
        <v>3211236</v>
      </c>
      <c r="N5">
        <f>H5/(D5*E5*F5)</f>
        <v>398.588956483188</v>
      </c>
    </row>
    <row r="6" spans="1:14">
      <c r="A6" s="4" t="s">
        <v>14</v>
      </c>
      <c r="B6" s="5">
        <v>3</v>
      </c>
      <c r="C6" s="6">
        <v>3.73</v>
      </c>
      <c r="D6" s="7">
        <f>J2*2.90820386%</f>
        <v>1308691.737</v>
      </c>
      <c r="E6" s="17">
        <v>0.0187</v>
      </c>
      <c r="F6" s="17">
        <v>0.1237</v>
      </c>
      <c r="G6" s="15">
        <v>932</v>
      </c>
      <c r="H6" s="15">
        <f>J3*2.43987%</f>
        <v>3415818</v>
      </c>
      <c r="N6">
        <f>H6/(D6*E6*F6)</f>
        <v>1128.35577575153</v>
      </c>
    </row>
    <row r="7" spans="1:6">
      <c r="A7" s="8"/>
      <c r="B7" s="9"/>
      <c r="C7" s="10"/>
      <c r="D7" s="11"/>
      <c r="E7" s="30"/>
      <c r="F7" s="30"/>
    </row>
    <row r="10" spans="1:7">
      <c r="A10" s="2" t="s">
        <v>15</v>
      </c>
      <c r="B10" s="2"/>
      <c r="C10" s="2"/>
      <c r="D10" s="2"/>
      <c r="E10" s="2"/>
      <c r="F10" s="2"/>
      <c r="G10" s="2"/>
    </row>
    <row r="11" spans="1:7">
      <c r="A11" s="12"/>
      <c r="B11" s="3" t="s">
        <v>6</v>
      </c>
      <c r="C11" s="13" t="s">
        <v>7</v>
      </c>
      <c r="D11" s="3" t="s">
        <v>5</v>
      </c>
      <c r="E11" s="3" t="s">
        <v>4</v>
      </c>
      <c r="F11" s="3" t="s">
        <v>16</v>
      </c>
      <c r="G11" s="3" t="s">
        <v>10</v>
      </c>
    </row>
    <row r="12" spans="1:7">
      <c r="A12" s="4" t="s">
        <v>11</v>
      </c>
      <c r="B12" s="7">
        <f>D3*15%</f>
        <v>4818260.18025</v>
      </c>
      <c r="C12" s="14">
        <f>E3</f>
        <v>0.1023</v>
      </c>
      <c r="D12" s="15">
        <f>C3</f>
        <v>8.56</v>
      </c>
      <c r="E12" s="15">
        <f>B3</f>
        <v>4.3</v>
      </c>
      <c r="F12" s="7">
        <f>B12*C12*E12</f>
        <v>2119504.47069017</v>
      </c>
      <c r="G12" s="7">
        <f>D12*F12</f>
        <v>18142958.2691079</v>
      </c>
    </row>
    <row r="13" spans="1:7">
      <c r="A13" s="4" t="s">
        <v>12</v>
      </c>
      <c r="B13" s="7">
        <f>D4*15%</f>
        <v>761897.062575</v>
      </c>
      <c r="C13" s="14">
        <f>E4</f>
        <v>0.0798</v>
      </c>
      <c r="D13" s="15">
        <f>C4</f>
        <v>4.32</v>
      </c>
      <c r="E13" s="15">
        <f>B4</f>
        <v>2.3</v>
      </c>
      <c r="F13" s="7">
        <f>B13*C13*E13</f>
        <v>139838.586865016</v>
      </c>
      <c r="G13" s="7">
        <f>D13*F13</f>
        <v>604102.695256867</v>
      </c>
    </row>
    <row r="14" spans="1:7">
      <c r="A14" s="4" t="s">
        <v>13</v>
      </c>
      <c r="B14" s="7">
        <f>D5*15%</f>
        <v>235535.58</v>
      </c>
      <c r="C14" s="14">
        <f>E5</f>
        <v>0.0314</v>
      </c>
      <c r="D14" s="15">
        <f>C5</f>
        <v>2.21</v>
      </c>
      <c r="E14" s="15">
        <f>B5</f>
        <v>2.8</v>
      </c>
      <c r="F14" s="7">
        <f>B14*C14*E14</f>
        <v>20708.2881936</v>
      </c>
      <c r="G14" s="7">
        <f>D14*F14</f>
        <v>45765.316907856</v>
      </c>
    </row>
    <row r="15" spans="1:7">
      <c r="A15" s="4" t="s">
        <v>14</v>
      </c>
      <c r="B15" s="7">
        <f>D6*15%</f>
        <v>196303.76055</v>
      </c>
      <c r="C15" s="14">
        <f>E6</f>
        <v>0.0187</v>
      </c>
      <c r="D15" s="15">
        <f>C6</f>
        <v>3.73</v>
      </c>
      <c r="E15" s="15">
        <f>B6</f>
        <v>3</v>
      </c>
      <c r="F15" s="7">
        <f>B15*C15*E15</f>
        <v>11012.640966855</v>
      </c>
      <c r="G15" s="7">
        <f>D15*F15</f>
        <v>41077.1508063691</v>
      </c>
    </row>
    <row r="19" spans="1:9">
      <c r="A19" s="2" t="s">
        <v>17</v>
      </c>
      <c r="B19" s="2"/>
      <c r="C19" s="2"/>
      <c r="D19" s="2"/>
      <c r="E19" s="2"/>
      <c r="F19" s="2"/>
      <c r="G19" s="2"/>
      <c r="H19" s="2"/>
      <c r="I19" s="2"/>
    </row>
    <row r="20" spans="1:11">
      <c r="A20" s="12"/>
      <c r="B20" s="3" t="s">
        <v>18</v>
      </c>
      <c r="C20" s="13" t="s">
        <v>19</v>
      </c>
      <c r="D20" s="3" t="s">
        <v>20</v>
      </c>
      <c r="E20" s="3" t="s">
        <v>7</v>
      </c>
      <c r="F20" s="3" t="s">
        <v>4</v>
      </c>
      <c r="G20" s="3" t="s">
        <v>16</v>
      </c>
      <c r="H20" s="3" t="s">
        <v>5</v>
      </c>
      <c r="I20" s="3" t="s">
        <v>10</v>
      </c>
      <c r="K20" t="s">
        <v>21</v>
      </c>
    </row>
    <row r="21" spans="1:11">
      <c r="A21" s="4" t="s">
        <v>11</v>
      </c>
      <c r="B21" s="7">
        <f>D3*66.324%</f>
        <v>21304419.2129934</v>
      </c>
      <c r="C21" s="16">
        <f>B21*D21</f>
        <v>3457707.23826883</v>
      </c>
      <c r="D21" s="17">
        <v>0.1623</v>
      </c>
      <c r="E21" s="17">
        <v>0.1142</v>
      </c>
      <c r="F21" s="31">
        <f>B3*1.119999</f>
        <v>4.8159957</v>
      </c>
      <c r="G21" s="7">
        <f>C21*E21*F21</f>
        <v>1901693.02445349</v>
      </c>
      <c r="H21" s="6">
        <f>I21/G21</f>
        <v>7.57111784740391</v>
      </c>
      <c r="I21" s="7">
        <f>C21*E21*F3*1.5183*N3</f>
        <v>14397941.9977233</v>
      </c>
      <c r="K21">
        <f>C21*E21</f>
        <v>394870.1666103</v>
      </c>
    </row>
    <row r="22" spans="1:11">
      <c r="A22" s="4" t="s">
        <v>12</v>
      </c>
      <c r="B22" s="7">
        <f>D4*38.78325%</f>
        <v>1969922.95014079</v>
      </c>
      <c r="C22" s="16">
        <f>B22*D22</f>
        <v>310459.856942189</v>
      </c>
      <c r="D22" s="17">
        <v>0.1576</v>
      </c>
      <c r="E22" s="17">
        <v>0.0823</v>
      </c>
      <c r="F22" s="31">
        <f>B4*1.721984</f>
        <v>3.9605632</v>
      </c>
      <c r="G22" s="7">
        <f>C22*E22*F22</f>
        <v>101195.74129291</v>
      </c>
      <c r="H22" s="6">
        <f>I22/G22</f>
        <v>10.4584087534848</v>
      </c>
      <c r="I22" s="7">
        <f>C22*E22*F4*0.98*N4</f>
        <v>1058346.42655315</v>
      </c>
      <c r="K22">
        <f>C22*E22</f>
        <v>25550.8462263421</v>
      </c>
    </row>
    <row r="23" spans="1:11">
      <c r="A23" s="4" t="s">
        <v>13</v>
      </c>
      <c r="B23" s="7">
        <f>D5*20.7946%</f>
        <v>326524.5447912</v>
      </c>
      <c r="C23" s="16">
        <f>B23*D23</f>
        <v>47835.8458119108</v>
      </c>
      <c r="D23" s="17">
        <v>0.1465</v>
      </c>
      <c r="E23" s="17">
        <v>0.0301</v>
      </c>
      <c r="F23" s="31">
        <f>B5*1.83123</f>
        <v>5.127444</v>
      </c>
      <c r="G23" s="7">
        <f>C23*E23*F23</f>
        <v>7382.79617985553</v>
      </c>
      <c r="H23" s="6">
        <f>I23/G23</f>
        <v>12.9472761856195</v>
      </c>
      <c r="I23" s="7">
        <f>C23*E23*F5*1.0193*N5</f>
        <v>95587.1011627259</v>
      </c>
      <c r="K23">
        <f>C23*E23</f>
        <v>1439.85895893851</v>
      </c>
    </row>
    <row r="24" spans="1:11">
      <c r="A24" s="4" t="s">
        <v>14</v>
      </c>
      <c r="B24" s="7">
        <f>D6*17.37964%</f>
        <v>227445.912600347</v>
      </c>
      <c r="C24" s="16">
        <f>B24*D24</f>
        <v>35049.4151317134</v>
      </c>
      <c r="D24" s="17">
        <v>0.1541</v>
      </c>
      <c r="E24" s="17">
        <v>0.0237</v>
      </c>
      <c r="F24" s="31">
        <f>B6*1.843249</f>
        <v>5.529747</v>
      </c>
      <c r="G24" s="7">
        <f>C24*E24*F24</f>
        <v>4593.40123677942</v>
      </c>
      <c r="H24" s="6">
        <f>I24/G24</f>
        <v>25.2412288411142</v>
      </c>
      <c r="I24" s="7">
        <f>C24*E24*F6*N6</f>
        <v>115943.091776606</v>
      </c>
      <c r="K24">
        <f>C24*E24</f>
        <v>830.671138621609</v>
      </c>
    </row>
    <row r="25" spans="1:11">
      <c r="A25" s="4" t="s">
        <v>22</v>
      </c>
      <c r="B25" s="18">
        <f>SUM(B21:B24)</f>
        <v>23828312.6205257</v>
      </c>
      <c r="C25" s="18">
        <f t="shared" ref="C25:I25" si="0">SUM(C21:C24)</f>
        <v>3851052.35615464</v>
      </c>
      <c r="D25" s="19">
        <f>C25/B25</f>
        <v>0.161616662391668</v>
      </c>
      <c r="E25" s="32">
        <f>K25/C25</f>
        <v>0.109760009431881</v>
      </c>
      <c r="F25" s="33">
        <f>G25/K25</f>
        <v>4.76675012037483</v>
      </c>
      <c r="G25" s="18">
        <f t="shared" si="0"/>
        <v>2014864.96316303</v>
      </c>
      <c r="H25" s="33">
        <f>I25/G25</f>
        <v>7.77611348833011</v>
      </c>
      <c r="I25" s="36">
        <f t="shared" si="0"/>
        <v>15667818.6172158</v>
      </c>
      <c r="K25">
        <f>SUM(K21:K24)</f>
        <v>422691.542934203</v>
      </c>
    </row>
    <row r="30" spans="1:4">
      <c r="A30" s="20" t="s">
        <v>23</v>
      </c>
      <c r="B30" s="21"/>
      <c r="C30" s="21"/>
      <c r="D30" s="21"/>
    </row>
    <row r="31" spans="1:4">
      <c r="A31" s="22"/>
      <c r="B31" s="23" t="s">
        <v>24</v>
      </c>
      <c r="C31" s="23" t="s">
        <v>25</v>
      </c>
      <c r="D31" s="23" t="s">
        <v>26</v>
      </c>
    </row>
    <row r="32" spans="1:4">
      <c r="A32" s="24" t="s">
        <v>6</v>
      </c>
      <c r="B32" s="25">
        <f>C32*1.0053874</f>
        <v>800568.888404761</v>
      </c>
      <c r="C32" s="25">
        <f>C25*1.033846*20%</f>
        <v>796279.01484021</v>
      </c>
      <c r="D32" s="14">
        <f>B32/C32-1</f>
        <v>0.00538740000000004</v>
      </c>
    </row>
    <row r="33" spans="1:4">
      <c r="A33" s="24" t="s">
        <v>7</v>
      </c>
      <c r="B33" s="26">
        <f>E25*1.044734</f>
        <v>0.114670013693807</v>
      </c>
      <c r="C33" s="26">
        <f>E25*1.00864</f>
        <v>0.110708335913373</v>
      </c>
      <c r="D33" s="14">
        <f>B33/C33-1</f>
        <v>0.0357848191624366</v>
      </c>
    </row>
    <row r="34" spans="1:4">
      <c r="A34" s="24" t="s">
        <v>4</v>
      </c>
      <c r="B34" s="27">
        <f>C34*1.1063</f>
        <v>5.177484</v>
      </c>
      <c r="C34" s="27">
        <v>4.68</v>
      </c>
      <c r="D34" s="14">
        <f>B34/C34-1</f>
        <v>0.1063</v>
      </c>
    </row>
    <row r="35" spans="1:4">
      <c r="A35" s="24" t="s">
        <v>16</v>
      </c>
      <c r="B35" s="25">
        <f>B32*B33*B34</f>
        <v>475299.47921895</v>
      </c>
      <c r="C35" s="25">
        <f>C32*C33*C34</f>
        <v>412564.111388674</v>
      </c>
      <c r="D35" s="14">
        <f>B35/C35-1</f>
        <v>0.152062106466584</v>
      </c>
    </row>
    <row r="36" spans="1:4">
      <c r="A36" s="24" t="s">
        <v>10</v>
      </c>
      <c r="B36" s="25">
        <f>C36*1.18763</f>
        <v>3795006.74897047</v>
      </c>
      <c r="C36" s="25">
        <f>I25*1.019748*20%</f>
        <v>3195445.33985372</v>
      </c>
      <c r="D36" s="14">
        <f>B36/C36-1</f>
        <v>0.18763</v>
      </c>
    </row>
    <row r="37" spans="1:4">
      <c r="A37" s="24" t="s">
        <v>5</v>
      </c>
      <c r="B37" s="27">
        <f>B36/B35</f>
        <v>7.9844538336266</v>
      </c>
      <c r="C37" s="27">
        <f>C36/C35</f>
        <v>7.74533036598356</v>
      </c>
      <c r="D37" s="14">
        <f>B37/C37-1</f>
        <v>0.0308732431470244</v>
      </c>
    </row>
    <row r="41" spans="1:6">
      <c r="A41" s="20" t="s">
        <v>27</v>
      </c>
      <c r="B41" s="20"/>
      <c r="C41" s="20"/>
      <c r="D41" s="20"/>
      <c r="E41" s="20"/>
      <c r="F41" s="20"/>
    </row>
    <row r="42" spans="1:6">
      <c r="A42" s="28"/>
      <c r="B42" s="29" t="s">
        <v>25</v>
      </c>
      <c r="C42" s="29" t="s">
        <v>28</v>
      </c>
      <c r="D42" s="29" t="s">
        <v>29</v>
      </c>
      <c r="E42" s="29" t="s">
        <v>30</v>
      </c>
      <c r="F42" s="34" t="s">
        <v>31</v>
      </c>
    </row>
    <row r="43" spans="1:6">
      <c r="A43" s="24" t="s">
        <v>6</v>
      </c>
      <c r="B43" s="25">
        <f>C25*1.0446846*20%</f>
        <v>804627.018053694</v>
      </c>
      <c r="C43" s="25">
        <f>B43*0.99324</f>
        <v>799187.739411651</v>
      </c>
      <c r="D43" s="25">
        <f>C43*1.003864</f>
        <v>802275.800836738</v>
      </c>
      <c r="E43" s="14">
        <f>D43/B43-1</f>
        <v>-0.00292212063999997</v>
      </c>
      <c r="F43" s="14">
        <f>D43/B43-1</f>
        <v>-0.00292212063999997</v>
      </c>
    </row>
    <row r="44" spans="1:6">
      <c r="A44" s="24" t="s">
        <v>7</v>
      </c>
      <c r="B44" s="26">
        <f>C33*0.9947</f>
        <v>0.110121581733032</v>
      </c>
      <c r="C44" s="26">
        <f>B44*1.0221</f>
        <v>0.112555268689332</v>
      </c>
      <c r="D44" s="26">
        <f>B44*1.0174</f>
        <v>0.112037697255187</v>
      </c>
      <c r="E44" s="14">
        <f>C44/B44-1</f>
        <v>0.0221</v>
      </c>
      <c r="F44" s="14">
        <f>D44/B44-1</f>
        <v>0.0174000000000001</v>
      </c>
    </row>
    <row r="45" spans="1:6">
      <c r="A45" s="24" t="s">
        <v>4</v>
      </c>
      <c r="B45" s="27">
        <v>4.68</v>
      </c>
      <c r="C45" s="27">
        <v>4.67</v>
      </c>
      <c r="D45" s="27">
        <v>4.66</v>
      </c>
      <c r="E45" s="14">
        <f>C45/B45-1</f>
        <v>-0.00213675213675213</v>
      </c>
      <c r="F45" s="14">
        <f>D45/B45-1</f>
        <v>-0.00427350427350415</v>
      </c>
    </row>
    <row r="46" spans="1:6">
      <c r="A46" s="24" t="s">
        <v>16</v>
      </c>
      <c r="B46" s="25">
        <f>B43*B44*B45</f>
        <v>414679.823687402</v>
      </c>
      <c r="C46" s="25">
        <f>C43*C44*C45</f>
        <v>420079.532768401</v>
      </c>
      <c r="D46" s="25">
        <f>D43*D44*D45</f>
        <v>418864.721128179</v>
      </c>
      <c r="E46" s="14">
        <f>C46/B46-1</f>
        <v>0.0130213933076924</v>
      </c>
      <c r="F46" s="14">
        <f>D46/B46-1</f>
        <v>0.0100918761939375</v>
      </c>
    </row>
    <row r="47" spans="1:6">
      <c r="A47" s="24" t="s">
        <v>10</v>
      </c>
      <c r="B47" s="25">
        <f>C36*1.00873</f>
        <v>3223341.57767064</v>
      </c>
      <c r="C47" s="25">
        <f>B47*1.0365</f>
        <v>3340993.54525562</v>
      </c>
      <c r="D47" s="25">
        <f>B47*1.03198</f>
        <v>3326424.04132455</v>
      </c>
      <c r="E47" s="14">
        <f>C47/B47-1</f>
        <v>0.0365</v>
      </c>
      <c r="F47" s="14">
        <f>D47/B47-1</f>
        <v>0.0319799999999999</v>
      </c>
    </row>
    <row r="48" spans="1:6">
      <c r="A48" s="24" t="s">
        <v>5</v>
      </c>
      <c r="B48" s="27">
        <f>B47/B46</f>
        <v>7.77308514556641</v>
      </c>
      <c r="C48" s="27">
        <f>C47/C46</f>
        <v>7.95324048100574</v>
      </c>
      <c r="D48" s="27">
        <f>D47/D46</f>
        <v>7.94152353620302</v>
      </c>
      <c r="E48" s="14">
        <f>C48/B48-1</f>
        <v>0.0231768123036828</v>
      </c>
      <c r="F48" s="14">
        <f>D48/B48-1</f>
        <v>0.0216694385153733</v>
      </c>
    </row>
    <row r="49" spans="1:6">
      <c r="A49" s="15" t="s">
        <v>32</v>
      </c>
      <c r="B49" s="15">
        <v>1189</v>
      </c>
      <c r="C49" s="7">
        <f>B49+4.043*60</f>
        <v>1431.58</v>
      </c>
      <c r="D49" s="7">
        <f>C49*0.9547</f>
        <v>1366.729426</v>
      </c>
      <c r="E49" s="14">
        <f>C49/B49-1</f>
        <v>0.204020185029437</v>
      </c>
      <c r="F49" s="14">
        <f>D49/B49-1</f>
        <v>0.149478070647603</v>
      </c>
    </row>
  </sheetData>
  <mergeCells count="7">
    <mergeCell ref="B1:C1"/>
    <mergeCell ref="D1:H1"/>
    <mergeCell ref="A10:G10"/>
    <mergeCell ref="A19:I19"/>
    <mergeCell ref="A30:D30"/>
    <mergeCell ref="A41:F41"/>
    <mergeCell ref="A1:A2"/>
  </mergeCells>
  <pageMargins left="0.75" right="0.75" top="1" bottom="1" header="0.5" footer="0.5"/>
  <headerFooter/>
  <ignoredErrors>
    <ignoredError sqref="H25 D2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zhuzhaohui</dc:creator>
  <cp:lastModifiedBy>zhuzhaohui</cp:lastModifiedBy>
  <dcterms:created xsi:type="dcterms:W3CDTF">2024-05-01T00:14:26Z</dcterms:created>
  <dcterms:modified xsi:type="dcterms:W3CDTF">2024-05-01T22:39:37Z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D4B3943DD6F298CC527B316684A79A08_41</vt:lpwstr>
  </property>
  <property fmtid="{D5CDD505-2E9C-101B-9397-08002B2CF9AE}" pid="3" name="KSOProductBuildVer">
    <vt:lpwstr>2052-6.5.2.8766</vt:lpwstr>
  </property>
</Properties>
</file>