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<sst xmlns="http://schemas.openxmlformats.org/spreadsheetml/2006/main" count="54" uniqueCount="21">
  <si>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智能投放</t>
  </si>
  <si>
    <t>定向投放</t>
  </si>
  <si>
    <t>使用率</t>
  </si>
  <si>
    <t>CTR</t>
  </si>
  <si>
    <t>平均出价</t>
  </si>
  <si>
    <t>消耗占比</t>
  </si>
  <si>
    <t>ROI</t>
  </si>
  <si>
    <t>精选场景</t>
  </si>
  <si>
    <t>预计提升</t>
  </si>
  <si>
    <t>曝光uv</t>
  </si>
  <si>
    <t>CVR</t>
  </si>
  <si>
    <t>点击uv</t>
  </si>
  <si>
    <t>广告消耗</t>
  </si>
  <si>
    <t>-</t>
  </si>
  <si>
    <t>结果数据</t>
  </si>
  <si>
    <t>智能vs精选</t>
  </si>
  <si>
    <t>定向vs精选</t>
  </si>
  <si>
    <t>占比</t>
  </si>
  <si>
    <t>A组</t>
  </si>
  <si>
    <t>B组</t>
  </si>
  <si>
    <t>增长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</si>
</sst>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9" fontId="3" fillId="0" borderId="4" xfId="0" applyNumberFormat="1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10" fontId="3" fillId="0" borderId="4" xfId="0" applyNumberFormat="1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4" fillId="3" borderId="5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9" fontId="0" fillId="0" borderId="5" xfId="0" applyNumberFormat="1" applyBorder="1">
      <alignment vertical="center"/>
    </xf>
    <xf numFmtId="176" fontId="0" fillId="0" borderId="5" xfId="0" applyNumberFormat="1" applyBorder="1">
      <alignment vertical="center"/>
    </xf>
    <xf numFmtId="10" fontId="0" fillId="0" borderId="5" xfId="0" applyNumberFormat="1" applyBorder="1">
      <alignment vertical="center"/>
    </xf>
    <xf numFmtId="10" fontId="0" fillId="0" borderId="5" xfId="3" applyNumberFormat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8" workbookViewId="0">
      <selection activeCell="H27" sqref="H27"/>
    </sheetView>
  </sheetViews>
  <sheetFormatPr defaultColWidth="9.23076923076923" defaultRowHeight="16.8"/>
  <cols>
    <col min="1" max="1" width="10.3076923076923" customWidth="1"/>
    <col min="2" max="2" width="14.3846153846154" customWidth="1"/>
    <col min="3" max="3" width="13.5384615384615"/>
    <col min="4" max="4" width="9.61538461538461"/>
    <col min="8" max="8" width="10.3076923076923" customWidth="1"/>
    <col min="9" max="9" width="12.5" customWidth="1"/>
    <col min="10" max="10" width="10.3076923076923" customWidth="1"/>
  </cols>
  <sheetData>
    <row r="1" ht="18.75" spans="1:3">
      <c r="A1" s="1"/>
      <c r="B1" s="2" t="s">
        <v>0</v>
      </c>
      <c r="C1" s="2" t="s">
        <v>1</v>
      </c>
    </row>
    <row r="2" ht="18.75" spans="1:3">
      <c r="A2" s="3" t="s">
        <v>2</v>
      </c>
      <c r="B2" s="4">
        <v>0.76</v>
      </c>
      <c r="C2" s="4">
        <v>0.24</v>
      </c>
    </row>
    <row r="3" ht="18.75" spans="1:3">
      <c r="A3" s="5" t="s">
        <v>3</v>
      </c>
      <c r="B3" s="6">
        <v>0.0623</v>
      </c>
      <c r="C3" s="6">
        <v>0.0598</v>
      </c>
    </row>
    <row r="4" ht="18.35" spans="1:3">
      <c r="A4" s="3" t="s">
        <v>4</v>
      </c>
      <c r="B4" s="7">
        <v>3.27</v>
      </c>
      <c r="C4" s="8">
        <v>3.65</v>
      </c>
    </row>
    <row r="5" ht="18.75" spans="1:3">
      <c r="A5" s="3" t="s">
        <v>5</v>
      </c>
      <c r="B5" s="4">
        <v>0.82</v>
      </c>
      <c r="C5" s="4">
        <v>0.18</v>
      </c>
    </row>
    <row r="6" ht="18.75" spans="1:3">
      <c r="A6" s="5" t="s">
        <v>6</v>
      </c>
      <c r="B6" s="9">
        <v>5.74</v>
      </c>
      <c r="C6" s="9">
        <v>5.69</v>
      </c>
    </row>
    <row r="11" spans="1:10">
      <c r="A11" s="10"/>
      <c r="B11" s="11" t="s">
        <v>0</v>
      </c>
      <c r="C11" s="11" t="s">
        <v>7</v>
      </c>
      <c r="D11" s="11" t="s">
        <v>8</v>
      </c>
      <c r="G11" s="10"/>
      <c r="H11" s="11" t="s">
        <v>1</v>
      </c>
      <c r="I11" s="11" t="s">
        <v>7</v>
      </c>
      <c r="J11" s="11" t="s">
        <v>8</v>
      </c>
    </row>
    <row r="12" spans="1:10">
      <c r="A12" s="12" t="s">
        <v>4</v>
      </c>
      <c r="B12" s="12">
        <v>3.26</v>
      </c>
      <c r="C12" s="13">
        <f>B12*(1+D12)</f>
        <v>3.423</v>
      </c>
      <c r="D12" s="14">
        <v>0.05</v>
      </c>
      <c r="G12" s="12" t="s">
        <v>4</v>
      </c>
      <c r="H12" s="12">
        <v>3.63</v>
      </c>
      <c r="I12" s="13">
        <f>C12</f>
        <v>3.423</v>
      </c>
      <c r="J12" s="16">
        <f>I12/H12-1</f>
        <v>-0.0570247933884297</v>
      </c>
    </row>
    <row r="13" spans="1:10">
      <c r="A13" s="12" t="s">
        <v>9</v>
      </c>
      <c r="B13" s="12">
        <v>2199836</v>
      </c>
      <c r="C13" s="15">
        <f>B13*(1+D13)</f>
        <v>2298828.62</v>
      </c>
      <c r="D13" s="16">
        <v>0.045</v>
      </c>
      <c r="G13" s="12" t="s">
        <v>9</v>
      </c>
      <c r="H13" s="12">
        <v>2243823</v>
      </c>
      <c r="I13" s="15">
        <f>C13</f>
        <v>2298828.62</v>
      </c>
      <c r="J13" s="16">
        <f t="shared" ref="J13:J18" si="0">I13/H13-1</f>
        <v>0.0245142419878928</v>
      </c>
    </row>
    <row r="14" spans="1:10">
      <c r="A14" s="12" t="s">
        <v>3</v>
      </c>
      <c r="B14" s="16">
        <v>0.0609</v>
      </c>
      <c r="C14" s="17">
        <f>B14*(1+D14)</f>
        <v>0.062727</v>
      </c>
      <c r="D14" s="14">
        <v>0.03</v>
      </c>
      <c r="G14" s="12" t="s">
        <v>3</v>
      </c>
      <c r="H14" s="16">
        <v>0.0599</v>
      </c>
      <c r="I14" s="17">
        <f>C14</f>
        <v>0.062727</v>
      </c>
      <c r="J14" s="16">
        <f t="shared" si="0"/>
        <v>0.0471953255425708</v>
      </c>
    </row>
    <row r="15" spans="1:10">
      <c r="A15" s="12" t="s">
        <v>10</v>
      </c>
      <c r="B15" s="16">
        <v>0.0412</v>
      </c>
      <c r="C15" s="17">
        <f>B15*(1+D15)</f>
        <v>0.04223</v>
      </c>
      <c r="D15" s="16">
        <v>0.025</v>
      </c>
      <c r="G15" s="12" t="s">
        <v>10</v>
      </c>
      <c r="H15" s="16">
        <v>0.0414</v>
      </c>
      <c r="I15" s="17">
        <f>C15</f>
        <v>0.04223</v>
      </c>
      <c r="J15" s="16">
        <f t="shared" si="0"/>
        <v>0.020048309178744</v>
      </c>
    </row>
    <row r="16" spans="1:10">
      <c r="A16" s="12" t="s">
        <v>11</v>
      </c>
      <c r="B16" s="15">
        <f>B13*B14</f>
        <v>133970.0124</v>
      </c>
      <c r="C16" s="15">
        <f>C13*C14</f>
        <v>144198.62284674</v>
      </c>
      <c r="D16" s="16">
        <f>C16/B16-1</f>
        <v>0.0763499999999997</v>
      </c>
      <c r="G16" s="12" t="s">
        <v>11</v>
      </c>
      <c r="H16" s="15">
        <f>H13*H14</f>
        <v>134404.9977</v>
      </c>
      <c r="I16" s="15">
        <f>I13*I14</f>
        <v>144198.62284674</v>
      </c>
      <c r="J16" s="16">
        <f t="shared" si="0"/>
        <v>0.0728665251615115</v>
      </c>
    </row>
    <row r="17" spans="1:10">
      <c r="A17" s="12" t="s">
        <v>12</v>
      </c>
      <c r="B17" s="15">
        <f>B16*B12</f>
        <v>436742.240424</v>
      </c>
      <c r="C17" s="15">
        <f>C16*C12</f>
        <v>493591.886004391</v>
      </c>
      <c r="D17" s="16">
        <f>C17/B17-1</f>
        <v>0.1301675</v>
      </c>
      <c r="G17" s="12" t="s">
        <v>12</v>
      </c>
      <c r="H17" s="15">
        <f>H16*H12</f>
        <v>487890.141651</v>
      </c>
      <c r="I17" s="15">
        <f>I16*I12</f>
        <v>493591.886004391</v>
      </c>
      <c r="J17" s="16">
        <f t="shared" si="0"/>
        <v>0.0116865332308138</v>
      </c>
    </row>
    <row r="18" spans="1:10">
      <c r="A18" s="12" t="s">
        <v>6</v>
      </c>
      <c r="B18" s="13">
        <f>(B15*450)/B12</f>
        <v>5.68711656441718</v>
      </c>
      <c r="C18" s="13">
        <f>(C15*450)/C12</f>
        <v>5.55170902716915</v>
      </c>
      <c r="D18" s="16" t="s">
        <v>13</v>
      </c>
      <c r="G18" s="12" t="s">
        <v>6</v>
      </c>
      <c r="H18" s="13">
        <f>(H15*470)/H12</f>
        <v>5.3603305785124</v>
      </c>
      <c r="I18" s="13">
        <f>(I15*450)/I12</f>
        <v>5.55170902716915</v>
      </c>
      <c r="J18" s="16">
        <f t="shared" si="0"/>
        <v>0.0357027324814478</v>
      </c>
    </row>
    <row r="22" spans="1:1">
      <c r="A22" t="s">
        <v>14</v>
      </c>
    </row>
    <row r="23" customFormat="1" spans="1:10">
      <c r="A23" s="18" t="s">
        <v>15</v>
      </c>
      <c r="B23" s="18"/>
      <c r="C23" s="18"/>
      <c r="D23" s="18"/>
      <c r="G23" s="18" t="s">
        <v>16</v>
      </c>
      <c r="H23" s="18"/>
      <c r="I23" s="18"/>
      <c r="J23" s="18"/>
    </row>
    <row r="24" spans="1:10">
      <c r="A24" s="19" t="s">
        <v>17</v>
      </c>
      <c r="B24" s="19"/>
      <c r="C24" s="20">
        <v>0.67</v>
      </c>
      <c r="D24" s="20"/>
      <c r="G24" s="19" t="s">
        <v>17</v>
      </c>
      <c r="H24" s="19"/>
      <c r="I24" s="20">
        <v>0.53</v>
      </c>
      <c r="J24" s="20"/>
    </row>
    <row r="25" spans="1:10">
      <c r="A25" s="21"/>
      <c r="B25" s="18" t="s">
        <v>18</v>
      </c>
      <c r="C25" s="18" t="s">
        <v>19</v>
      </c>
      <c r="D25" s="18" t="s">
        <v>20</v>
      </c>
      <c r="G25" s="22"/>
      <c r="H25" s="23" t="s">
        <v>18</v>
      </c>
      <c r="I25" s="23" t="s">
        <v>19</v>
      </c>
      <c r="J25" s="23" t="s">
        <v>20</v>
      </c>
    </row>
    <row r="26" spans="1:10">
      <c r="A26" s="12" t="s">
        <v>4</v>
      </c>
      <c r="B26" s="12">
        <v>3.54</v>
      </c>
      <c r="C26" s="12">
        <v>3.28</v>
      </c>
      <c r="D26" s="17">
        <f>B26/C26-1</f>
        <v>0.0792682926829269</v>
      </c>
      <c r="G26" s="12" t="s">
        <v>4</v>
      </c>
      <c r="H26" s="12">
        <v>3.54</v>
      </c>
      <c r="I26" s="12">
        <v>3.64</v>
      </c>
      <c r="J26" s="17">
        <f t="shared" ref="J26:J32" si="1">H26/I26-1</f>
        <v>-0.0274725274725275</v>
      </c>
    </row>
    <row r="27" spans="1:10">
      <c r="A27" s="12" t="s">
        <v>9</v>
      </c>
      <c r="B27" s="15">
        <f>C27*105.23%</f>
        <v>3101949.146552</v>
      </c>
      <c r="C27" s="15">
        <f>B13*C24/50%</f>
        <v>2947780.24</v>
      </c>
      <c r="D27" s="17">
        <f t="shared" ref="D27:D32" si="2">B27/C27-1</f>
        <v>0.0523</v>
      </c>
      <c r="G27" s="12" t="s">
        <v>9</v>
      </c>
      <c r="H27" s="12"/>
      <c r="I27" s="12"/>
      <c r="J27" s="17" t="e">
        <f t="shared" si="1"/>
        <v>#DIV/0!</v>
      </c>
    </row>
    <row r="28" spans="1:10">
      <c r="A28" s="12" t="s">
        <v>3</v>
      </c>
      <c r="B28" s="17">
        <v>0.0628</v>
      </c>
      <c r="C28" s="17">
        <v>0.061</v>
      </c>
      <c r="D28" s="17">
        <f t="shared" si="2"/>
        <v>0.0295081967213116</v>
      </c>
      <c r="G28" s="12" t="s">
        <v>3</v>
      </c>
      <c r="H28" s="12"/>
      <c r="I28" s="12"/>
      <c r="J28" s="17" t="e">
        <f t="shared" si="1"/>
        <v>#DIV/0!</v>
      </c>
    </row>
    <row r="29" spans="1:10">
      <c r="A29" s="12" t="s">
        <v>10</v>
      </c>
      <c r="B29" s="17">
        <v>0.0421</v>
      </c>
      <c r="C29" s="17">
        <v>0.0416</v>
      </c>
      <c r="D29" s="17">
        <f t="shared" si="2"/>
        <v>0.0120192307692308</v>
      </c>
      <c r="G29" s="12" t="s">
        <v>10</v>
      </c>
      <c r="H29" s="12"/>
      <c r="I29" s="12"/>
      <c r="J29" s="17" t="e">
        <f t="shared" si="1"/>
        <v>#DIV/0!</v>
      </c>
    </row>
    <row r="30" spans="1:10">
      <c r="A30" s="12" t="s">
        <v>11</v>
      </c>
      <c r="B30" s="15">
        <f>B27*B28</f>
        <v>194802.406403466</v>
      </c>
      <c r="C30" s="15">
        <f>C27*C28</f>
        <v>179814.59464</v>
      </c>
      <c r="D30" s="17">
        <f t="shared" si="2"/>
        <v>0.0833514754098363</v>
      </c>
      <c r="G30" s="12" t="s">
        <v>11</v>
      </c>
      <c r="H30" s="12"/>
      <c r="I30" s="12"/>
      <c r="J30" s="17" t="e">
        <f t="shared" si="1"/>
        <v>#DIV/0!</v>
      </c>
    </row>
    <row r="31" spans="1:10">
      <c r="A31" s="12" t="s">
        <v>12</v>
      </c>
      <c r="B31" s="15">
        <f>B30*B26</f>
        <v>689600.518668268</v>
      </c>
      <c r="C31" s="15">
        <f>C30*C26</f>
        <v>589791.8704192</v>
      </c>
      <c r="D31" s="17">
        <f t="shared" si="2"/>
        <v>0.169226897241104</v>
      </c>
      <c r="G31" s="12" t="s">
        <v>12</v>
      </c>
      <c r="H31" s="12"/>
      <c r="I31" s="12"/>
      <c r="J31" s="17" t="e">
        <f t="shared" si="1"/>
        <v>#DIV/0!</v>
      </c>
    </row>
    <row r="32" spans="1:10">
      <c r="A32" s="12" t="s">
        <v>6</v>
      </c>
      <c r="B32" s="13">
        <f>(B29*450)/B26</f>
        <v>5.35169491525424</v>
      </c>
      <c r="C32" s="13">
        <f>(C29*450)/C26</f>
        <v>5.70731707317073</v>
      </c>
      <c r="D32" s="17" t="s">
        <v>13</v>
      </c>
      <c r="G32" s="12" t="s">
        <v>6</v>
      </c>
      <c r="H32" s="12"/>
      <c r="I32" s="12"/>
      <c r="J32" s="17" t="e">
        <f t="shared" si="1"/>
        <v>#DIV/0!</v>
      </c>
    </row>
  </sheetData>
  <mergeCells count="6">
    <mergeCell ref="A23:D23"/>
    <mergeCell ref="G23:J23"/>
    <mergeCell ref="A24:B24"/>
    <mergeCell ref="C24:D24"/>
    <mergeCell ref="G24:H24"/>
    <mergeCell ref="I24:J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 </dc:creator>
  <cp:lastModifiedBy>zhuzhaohui </cp:lastModifiedBy>
  <dcterms:created xsi:type="dcterms:W3CDTF">2024-07-20T23:52:31Z</dcterms:created>
  <dcterms:modified xsi:type="dcterms:W3CDTF">2024-07-21T12:30:49Z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F29A7AB371DA6B14AF3F9C66C4D0D63F_41</vt:lpwstr>
  </property>
  <property fmtid="{D5CDD505-2E9C-101B-9397-08002B2CF9AE}" pid="3" name="KSOProductBuildVer">
    <vt:lpwstr>2052-6.7.1.8828</vt:lpwstr>
  </property>
</Properties>
</file>