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8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<sst xmlns="http://schemas.openxmlformats.org/spreadsheetml/2006/main" count="27" uniqueCount="17">
  <si>
    <t>位置</t>
  </si>
  <si>
    <t>曝光uv</t>
  </si>
  <si>
    <t>点击uv</t>
  </si>
  <si>
    <t>CTR</t>
  </si>
  <si>
    <t>订单uv</t>
  </si>
  <si>
    <t>CVR</t>
  </si>
  <si>
    <t>间夜数</t>
  </si>
  <si>
    <t>广告花费</t>
  </si>
  <si>
    <t>ROI</t>
  </si>
  <si>
    <t>底价</t>
  </si>
  <si>
    <t>售价</t>
  </si>
  <si>
    <t>场景</t>
  </si>
  <si>
    <t>area</t>
  </si>
  <si>
    <t>city</t>
  </si>
  <si>
    <t>district</t>
  </si>
  <si>
    <t>nearby</t>
  </si>
  <si>
    <t>poi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</si>
</sst>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3">
    <font>
      <sz val="11"/>
      <color indexed="8"/>
      <name val="宋体"/>
      <charset val="134"/>
      <scheme val="minor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0" borderId="1" xfId="3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F26" sqref="F26"/>
    </sheetView>
  </sheetViews>
  <sheetFormatPr defaultColWidth="9" defaultRowHeight="16.8"/>
  <cols>
    <col min="2" max="2" width="12.4615384615385"/>
    <col min="3" max="3" width="9.69230769230769"/>
    <col min="4" max="4" width="11.3653846153846" customWidth="1"/>
    <col min="6" max="6" width="11.8557692307692" customWidth="1"/>
    <col min="8" max="8" width="13.9230769230769"/>
    <col min="9" max="9" width="12.6634615384615" customWidth="1"/>
    <col min="10" max="11" width="12.4615384615385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3">
        <v>11739098</v>
      </c>
      <c r="C2" s="3">
        <v>797894</v>
      </c>
      <c r="D2" s="4">
        <f>C2/B2</f>
        <v>0.0679689359438008</v>
      </c>
      <c r="E2" s="3">
        <v>50468</v>
      </c>
      <c r="F2" s="4">
        <f>E2/C2</f>
        <v>0.0632515095990194</v>
      </c>
      <c r="G2" s="3">
        <v>63639</v>
      </c>
      <c r="H2" s="2">
        <v>2292497.61</v>
      </c>
      <c r="I2" s="5">
        <f>K2/H2</f>
        <v>5.94394469183329</v>
      </c>
      <c r="J2" s="3">
        <v>11125321</v>
      </c>
      <c r="K2" s="3">
        <v>13626479</v>
      </c>
    </row>
    <row r="3" spans="1:11">
      <c r="A3" s="2">
        <v>2</v>
      </c>
      <c r="B3" s="3">
        <v>11027486</v>
      </c>
      <c r="C3" s="3">
        <v>709518</v>
      </c>
      <c r="D3" s="4">
        <f t="shared" ref="D3:D13" si="0">C3/B3</f>
        <v>0.0643408660867944</v>
      </c>
      <c r="E3" s="3">
        <v>30365</v>
      </c>
      <c r="F3" s="4">
        <f t="shared" ref="F3:F13" si="1">E3/C3</f>
        <v>0.0427966591404305</v>
      </c>
      <c r="G3" s="3">
        <v>37948</v>
      </c>
      <c r="H3" s="2">
        <v>1955869.92</v>
      </c>
      <c r="I3" s="5">
        <f t="shared" ref="I3:I13" si="2">K3/H3</f>
        <v>4.10882948698347</v>
      </c>
      <c r="J3" s="3">
        <v>6566981</v>
      </c>
      <c r="K3" s="3">
        <v>8036336</v>
      </c>
    </row>
    <row r="4" spans="1:11">
      <c r="A4" s="2">
        <v>3</v>
      </c>
      <c r="B4" s="3">
        <v>6847973</v>
      </c>
      <c r="C4" s="3">
        <v>323127</v>
      </c>
      <c r="D4" s="4">
        <f t="shared" si="0"/>
        <v>0.0471857876776091</v>
      </c>
      <c r="E4" s="3">
        <v>12299</v>
      </c>
      <c r="F4" s="4">
        <f t="shared" si="1"/>
        <v>0.0380624336561166</v>
      </c>
      <c r="G4" s="3">
        <v>15635</v>
      </c>
      <c r="H4" s="2">
        <v>709958.29</v>
      </c>
      <c r="I4" s="5">
        <f t="shared" si="2"/>
        <v>4.7292130358813</v>
      </c>
      <c r="J4" s="3">
        <v>2735788</v>
      </c>
      <c r="K4" s="3">
        <v>3357544</v>
      </c>
    </row>
    <row r="5" spans="1:11">
      <c r="A5" s="2">
        <v>4</v>
      </c>
      <c r="B5" s="3">
        <v>8347136</v>
      </c>
      <c r="C5" s="3">
        <v>302726</v>
      </c>
      <c r="D5" s="4">
        <f t="shared" si="0"/>
        <v>0.0362670501594798</v>
      </c>
      <c r="E5" s="3">
        <v>12290</v>
      </c>
      <c r="F5" s="4">
        <f t="shared" si="1"/>
        <v>0.0405977682789057</v>
      </c>
      <c r="G5" s="3">
        <v>15053</v>
      </c>
      <c r="H5" s="2">
        <v>754244.3</v>
      </c>
      <c r="I5" s="5">
        <f t="shared" si="2"/>
        <v>4.15262402380767</v>
      </c>
      <c r="J5" s="3">
        <v>2555268</v>
      </c>
      <c r="K5" s="3">
        <v>3132093</v>
      </c>
    </row>
    <row r="6" spans="1:11">
      <c r="A6" s="2">
        <v>5</v>
      </c>
      <c r="B6" s="3">
        <v>6181556</v>
      </c>
      <c r="C6" s="3">
        <v>170244</v>
      </c>
      <c r="D6" s="4">
        <f t="shared" si="0"/>
        <v>0.0275406386353209</v>
      </c>
      <c r="E6" s="3">
        <v>6357</v>
      </c>
      <c r="F6" s="4">
        <f t="shared" si="1"/>
        <v>0.0373405230140269</v>
      </c>
      <c r="G6" s="3">
        <v>7928</v>
      </c>
      <c r="H6" s="2">
        <v>352639.3</v>
      </c>
      <c r="I6" s="5">
        <f t="shared" si="2"/>
        <v>4.68035752112711</v>
      </c>
      <c r="J6" s="3">
        <v>1347325</v>
      </c>
      <c r="K6" s="3">
        <v>1650478</v>
      </c>
    </row>
    <row r="7" spans="1:11">
      <c r="A7" s="2">
        <v>6</v>
      </c>
      <c r="B7" s="3">
        <v>7561785</v>
      </c>
      <c r="C7" s="3">
        <v>192269</v>
      </c>
      <c r="D7" s="4">
        <f t="shared" si="0"/>
        <v>0.025426403950919</v>
      </c>
      <c r="E7" s="3">
        <v>6562</v>
      </c>
      <c r="F7" s="4">
        <f t="shared" si="1"/>
        <v>0.0341292668084819</v>
      </c>
      <c r="G7" s="3">
        <v>8379</v>
      </c>
      <c r="H7" s="2">
        <v>454450.08</v>
      </c>
      <c r="I7" s="5">
        <f t="shared" si="2"/>
        <v>3.99002020199886</v>
      </c>
      <c r="J7" s="3">
        <v>1476744</v>
      </c>
      <c r="K7" s="3">
        <v>1813265</v>
      </c>
    </row>
    <row r="8" spans="1:11">
      <c r="A8" s="2">
        <v>7</v>
      </c>
      <c r="B8" s="3">
        <v>5114557</v>
      </c>
      <c r="C8" s="3">
        <v>96909</v>
      </c>
      <c r="D8" s="4">
        <f t="shared" si="0"/>
        <v>0.0189476820768641</v>
      </c>
      <c r="E8" s="3">
        <v>3192</v>
      </c>
      <c r="F8" s="4">
        <f t="shared" si="1"/>
        <v>0.0329381172027366</v>
      </c>
      <c r="G8" s="3">
        <v>4038</v>
      </c>
      <c r="H8" s="2">
        <v>201226.71</v>
      </c>
      <c r="I8" s="5">
        <f t="shared" si="2"/>
        <v>4.23676359862963</v>
      </c>
      <c r="J8" s="3">
        <v>688976</v>
      </c>
      <c r="K8" s="3">
        <v>852550</v>
      </c>
    </row>
    <row r="9" spans="1:11">
      <c r="A9" s="2">
        <v>8</v>
      </c>
      <c r="B9" s="3">
        <v>4060069</v>
      </c>
      <c r="C9" s="3">
        <v>65250</v>
      </c>
      <c r="D9" s="4">
        <f t="shared" si="0"/>
        <v>0.0160711554409543</v>
      </c>
      <c r="E9" s="3">
        <v>1933</v>
      </c>
      <c r="F9" s="4">
        <f t="shared" si="1"/>
        <v>0.0296245210727969</v>
      </c>
      <c r="G9" s="3">
        <v>2463</v>
      </c>
      <c r="H9" s="2">
        <v>125512.89</v>
      </c>
      <c r="I9" s="5">
        <f t="shared" si="2"/>
        <v>4.29959823250026</v>
      </c>
      <c r="J9" s="3">
        <v>441600</v>
      </c>
      <c r="K9" s="3">
        <v>539655</v>
      </c>
    </row>
    <row r="10" spans="1:11">
      <c r="A10" s="2">
        <v>9</v>
      </c>
      <c r="B10" s="3">
        <v>5102190</v>
      </c>
      <c r="C10" s="3">
        <v>77935</v>
      </c>
      <c r="D10" s="4">
        <f t="shared" si="0"/>
        <v>0.0152748133644572</v>
      </c>
      <c r="E10" s="3">
        <v>2240</v>
      </c>
      <c r="F10" s="4">
        <f t="shared" si="1"/>
        <v>0.0287419003015333</v>
      </c>
      <c r="G10" s="3">
        <v>2843</v>
      </c>
      <c r="H10" s="2">
        <v>168911.82</v>
      </c>
      <c r="I10" s="5">
        <f t="shared" si="2"/>
        <v>3.68331831366212</v>
      </c>
      <c r="J10" s="3">
        <v>505313</v>
      </c>
      <c r="K10" s="3">
        <v>622156</v>
      </c>
    </row>
    <row r="11" spans="1:11">
      <c r="A11" s="2">
        <v>10</v>
      </c>
      <c r="B11" s="3">
        <v>3449635</v>
      </c>
      <c r="C11" s="3">
        <v>43223</v>
      </c>
      <c r="D11" s="4">
        <f t="shared" si="0"/>
        <v>0.0125297314063662</v>
      </c>
      <c r="E11" s="3">
        <v>1204</v>
      </c>
      <c r="F11" s="4">
        <f t="shared" si="1"/>
        <v>0.0278555398746038</v>
      </c>
      <c r="G11" s="3">
        <v>1574</v>
      </c>
      <c r="H11" s="2">
        <v>77905.4</v>
      </c>
      <c r="I11" s="5">
        <f t="shared" si="2"/>
        <v>4.55046761841926</v>
      </c>
      <c r="J11" s="3">
        <v>290437</v>
      </c>
      <c r="K11" s="3">
        <v>354506</v>
      </c>
    </row>
    <row r="12" spans="1:11">
      <c r="A12" s="2">
        <v>11</v>
      </c>
      <c r="B12" s="3">
        <v>3239432</v>
      </c>
      <c r="C12" s="3">
        <v>35443</v>
      </c>
      <c r="D12" s="4">
        <f t="shared" si="0"/>
        <v>0.0109411156029823</v>
      </c>
      <c r="E12" s="3">
        <v>942</v>
      </c>
      <c r="F12" s="4">
        <f t="shared" si="1"/>
        <v>0.0265778856191632</v>
      </c>
      <c r="G12" s="3">
        <v>1221</v>
      </c>
      <c r="H12" s="2">
        <v>61908.98</v>
      </c>
      <c r="I12" s="5">
        <f t="shared" si="2"/>
        <v>4.50009029384752</v>
      </c>
      <c r="J12" s="3">
        <v>225548</v>
      </c>
      <c r="K12" s="3">
        <v>278596</v>
      </c>
    </row>
    <row r="13" spans="1:11">
      <c r="A13" s="2">
        <v>12</v>
      </c>
      <c r="B13" s="3">
        <v>2555407</v>
      </c>
      <c r="C13" s="3">
        <v>23622</v>
      </c>
      <c r="D13" s="4">
        <f t="shared" si="0"/>
        <v>0.00924392865793981</v>
      </c>
      <c r="E13" s="3">
        <v>597</v>
      </c>
      <c r="F13" s="4">
        <f t="shared" si="1"/>
        <v>0.0252730505461011</v>
      </c>
      <c r="G13" s="3">
        <v>793</v>
      </c>
      <c r="H13" s="2">
        <v>38246.88</v>
      </c>
      <c r="I13" s="5">
        <f t="shared" si="2"/>
        <v>4.45123889844087</v>
      </c>
      <c r="J13" s="3">
        <v>138373</v>
      </c>
      <c r="K13" s="3">
        <v>170246</v>
      </c>
    </row>
    <row r="18" spans="1:11">
      <c r="A18" s="1" t="s">
        <v>11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</row>
    <row r="19" spans="1:11">
      <c r="A19" s="3" t="s">
        <v>12</v>
      </c>
      <c r="B19" s="3">
        <v>661441</v>
      </c>
      <c r="C19" s="3">
        <v>67039</v>
      </c>
      <c r="D19" s="4">
        <f t="shared" ref="D19:D23" si="3">C19/B19</f>
        <v>0.101352955138856</v>
      </c>
      <c r="E19" s="3">
        <v>1558</v>
      </c>
      <c r="F19" s="4">
        <f t="shared" ref="F19:F23" si="4">E19/C19</f>
        <v>0.0232402034636555</v>
      </c>
      <c r="G19" s="3">
        <v>2232</v>
      </c>
      <c r="H19" s="2">
        <v>163352.21</v>
      </c>
      <c r="I19" s="5">
        <f t="shared" ref="I19:I23" si="5">K19/H19</f>
        <v>3.71225464289709</v>
      </c>
      <c r="J19" s="3">
        <v>498590</v>
      </c>
      <c r="K19" s="3">
        <v>606405</v>
      </c>
    </row>
    <row r="20" spans="1:11">
      <c r="A20" s="3" t="s">
        <v>13</v>
      </c>
      <c r="B20" s="3">
        <v>39045766</v>
      </c>
      <c r="C20" s="3">
        <v>660357</v>
      </c>
      <c r="D20" s="4">
        <f t="shared" si="3"/>
        <v>0.0169123843030765</v>
      </c>
      <c r="E20" s="3">
        <v>11404</v>
      </c>
      <c r="F20" s="4">
        <f t="shared" si="4"/>
        <v>0.0172694466780847</v>
      </c>
      <c r="G20" s="3">
        <v>16622</v>
      </c>
      <c r="H20" s="2">
        <v>1085089.55</v>
      </c>
      <c r="I20" s="5">
        <f t="shared" si="5"/>
        <v>3.7162195507274</v>
      </c>
      <c r="J20" s="3">
        <v>3287220</v>
      </c>
      <c r="K20" s="3">
        <v>4032431</v>
      </c>
    </row>
    <row r="21" spans="1:11">
      <c r="A21" s="3" t="s">
        <v>14</v>
      </c>
      <c r="B21" s="3">
        <v>1457096</v>
      </c>
      <c r="C21" s="3">
        <v>114648</v>
      </c>
      <c r="D21" s="4">
        <f t="shared" si="3"/>
        <v>0.0786825301833235</v>
      </c>
      <c r="E21" s="3">
        <v>3147</v>
      </c>
      <c r="F21" s="4">
        <f t="shared" si="4"/>
        <v>0.0274492359221269</v>
      </c>
      <c r="G21" s="3">
        <v>4368</v>
      </c>
      <c r="H21" s="2">
        <v>298357.01</v>
      </c>
      <c r="I21" s="5">
        <f t="shared" si="5"/>
        <v>3.30414894558703</v>
      </c>
      <c r="J21" s="3">
        <v>804966</v>
      </c>
      <c r="K21" s="3">
        <v>985816</v>
      </c>
    </row>
    <row r="22" spans="1:11">
      <c r="A22" s="3" t="s">
        <v>15</v>
      </c>
      <c r="B22" s="3">
        <v>25792954</v>
      </c>
      <c r="C22" s="3">
        <v>820627</v>
      </c>
      <c r="D22" s="4">
        <f t="shared" si="3"/>
        <v>0.0318159370190789</v>
      </c>
      <c r="E22" s="3">
        <v>70649</v>
      </c>
      <c r="F22" s="4">
        <f t="shared" si="4"/>
        <v>0.0860914885812921</v>
      </c>
      <c r="G22" s="3">
        <v>81802</v>
      </c>
      <c r="H22" s="2">
        <v>2482925.52</v>
      </c>
      <c r="I22" s="5">
        <f t="shared" si="5"/>
        <v>6.29050121487333</v>
      </c>
      <c r="J22" s="3">
        <v>12731010</v>
      </c>
      <c r="K22" s="3">
        <v>15618846</v>
      </c>
    </row>
    <row r="23" spans="1:11">
      <c r="A23" s="3" t="s">
        <v>16</v>
      </c>
      <c r="B23" s="3">
        <v>15348601</v>
      </c>
      <c r="C23" s="3">
        <v>1235832</v>
      </c>
      <c r="D23" s="4">
        <f t="shared" si="3"/>
        <v>0.0805175663892755</v>
      </c>
      <c r="E23" s="3">
        <v>43935</v>
      </c>
      <c r="F23" s="4">
        <f t="shared" si="4"/>
        <v>0.0355509486726351</v>
      </c>
      <c r="G23" s="3">
        <v>59357</v>
      </c>
      <c r="H23" s="2">
        <v>3274566.31</v>
      </c>
      <c r="I23" s="5">
        <f t="shared" si="5"/>
        <v>4.22788537148298</v>
      </c>
      <c r="J23" s="3">
        <v>11306394</v>
      </c>
      <c r="K23" s="3">
        <v>13844491</v>
      </c>
    </row>
  </sheetData>
  <sortState ref="A2:K21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1，2—二溴乙烷</cp:lastModifiedBy>
  <dcterms:created xsi:type="dcterms:W3CDTF">2023-08-30T19:14:00Z</dcterms:created>
  <dcterms:modified xsi:type="dcterms:W3CDTF">2023-08-30T19:43:31Z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a82fd2b5c97c4949810f5c069c46e464</vt:lpwstr>
  </property>
  <property fmtid="{D5CDD505-2E9C-101B-9397-08002B2CF9AE}" pid="3" name="KSOProductBuildVer">
    <vt:lpwstr>2052-6.0.0.8068</vt:lpwstr>
  </property>
  <property fmtid="{D5CDD505-2E9C-101B-9397-08002B2CF9AE}" pid="4" name="ICV">
    <vt:lpwstr>37D61CE49610FDD1632BEF649970BE9A_43</vt:lpwstr>
  </property>
</Properties>
</file>