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aohui/Desktop/职计划/远程实习-萱轩/"/>
    </mc:Choice>
  </mc:AlternateContent>
  <xr:revisionPtr revIDLastSave="0" documentId="13_ncr:1_{51F48576-1A56-4441-A116-94891B118D3F}" xr6:coauthVersionLast="47" xr6:coauthVersionMax="47" xr10:uidLastSave="{00000000-0000-0000-0000-000000000000}"/>
  <bookViews>
    <workbookView xWindow="0" yWindow="740" windowWidth="30240" windowHeight="18900" xr2:uid="{2089BF23-142B-B145-AA01-6C1762CD55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I51" i="1" s="1"/>
  <c r="H57" i="1"/>
  <c r="H59" i="1"/>
  <c r="H60" i="1"/>
  <c r="C52" i="1"/>
  <c r="B52" i="1"/>
  <c r="C51" i="1"/>
  <c r="B51" i="1"/>
  <c r="B57" i="1"/>
  <c r="B45" i="1"/>
  <c r="B41" i="1"/>
  <c r="B40" i="1"/>
  <c r="D40" i="1" s="1"/>
  <c r="D53" i="1"/>
  <c r="D54" i="1"/>
  <c r="D55" i="1"/>
  <c r="D56" i="1"/>
  <c r="F51" i="1"/>
  <c r="C40" i="1"/>
  <c r="C43" i="1"/>
  <c r="D43" i="1" s="1"/>
  <c r="C42" i="1"/>
  <c r="D42" i="1" s="1"/>
  <c r="M10" i="1"/>
  <c r="B13" i="1"/>
  <c r="L5" i="1"/>
  <c r="N5" i="1" s="1"/>
  <c r="B31" i="1"/>
  <c r="B28" i="1"/>
  <c r="B30" i="1" s="1"/>
  <c r="D31" i="1" s="1"/>
  <c r="L9" i="1"/>
  <c r="L13" i="1" s="1"/>
  <c r="B16" i="1" s="1"/>
  <c r="B17" i="1" s="1"/>
  <c r="L14" i="1"/>
  <c r="C7" i="1"/>
  <c r="C9" i="1"/>
  <c r="M12" i="1"/>
  <c r="M8" i="1"/>
  <c r="M9" i="1" s="1"/>
  <c r="C59" i="1" l="1"/>
  <c r="C57" i="1"/>
  <c r="B58" i="1"/>
  <c r="D57" i="1"/>
  <c r="C58" i="1"/>
  <c r="M11" i="1"/>
  <c r="P11" i="1" s="1"/>
  <c r="B44" i="1"/>
  <c r="L11" i="1"/>
  <c r="N11" i="1" s="1"/>
  <c r="L1" i="1" s="1"/>
  <c r="C41" i="1"/>
  <c r="D51" i="1"/>
  <c r="B18" i="1"/>
  <c r="B19" i="1" s="1"/>
  <c r="B20" i="1"/>
  <c r="M13" i="1"/>
  <c r="M15" i="1" s="1"/>
  <c r="M14" i="1"/>
  <c r="N14" i="1" s="1"/>
  <c r="D52" i="1" l="1"/>
  <c r="B59" i="1"/>
  <c r="D59" i="1" s="1"/>
  <c r="D58" i="1"/>
  <c r="C60" i="1"/>
  <c r="B46" i="1"/>
  <c r="C45" i="1"/>
  <c r="D45" i="1" s="1"/>
  <c r="C44" i="1"/>
  <c r="D41" i="1"/>
  <c r="O11" i="1"/>
  <c r="L15" i="1"/>
  <c r="N15" i="1" s="1"/>
  <c r="C19" i="1"/>
  <c r="C16" i="1"/>
  <c r="C17" i="1" s="1"/>
  <c r="N13" i="1"/>
  <c r="B21" i="1"/>
  <c r="C21" i="1" s="1"/>
  <c r="B60" i="1" l="1"/>
  <c r="D60" i="1"/>
  <c r="C46" i="1"/>
  <c r="D46" i="1"/>
  <c r="D44" i="1"/>
  <c r="C18" i="1"/>
  <c r="C20" i="1"/>
</calcChain>
</file>

<file path=xl/sharedStrings.xml><?xml version="1.0" encoding="utf-8"?>
<sst xmlns="http://schemas.openxmlformats.org/spreadsheetml/2006/main" count="63" uniqueCount="46">
  <si>
    <t>预估消耗</t>
    <phoneticPr fontId="3" type="noConversion"/>
  </si>
  <si>
    <t>ROI</t>
    <phoneticPr fontId="3" type="noConversion"/>
  </si>
  <si>
    <t>GMV</t>
    <phoneticPr fontId="3" type="noConversion"/>
  </si>
  <si>
    <t>cost</t>
    <phoneticPr fontId="3" type="noConversion"/>
  </si>
  <si>
    <t>单价</t>
    <phoneticPr fontId="3" type="noConversion"/>
  </si>
  <si>
    <t>订单</t>
    <phoneticPr fontId="3" type="noConversion"/>
  </si>
  <si>
    <t>预估点击</t>
    <phoneticPr fontId="3" type="noConversion"/>
  </si>
  <si>
    <t>ACP</t>
    <phoneticPr fontId="3" type="noConversion"/>
  </si>
  <si>
    <t>预计增长</t>
    <phoneticPr fontId="3" type="noConversion"/>
  </si>
  <si>
    <t>历史</t>
    <phoneticPr fontId="3" type="noConversion"/>
  </si>
  <si>
    <t>预测</t>
    <phoneticPr fontId="3" type="noConversion"/>
  </si>
  <si>
    <t>1、首先确定目标广告酒吧：历史31天连续投放广告</t>
    <phoneticPr fontId="3" type="noConversion"/>
  </si>
  <si>
    <t>广告收入提升</t>
    <phoneticPr fontId="3" type="noConversion"/>
  </si>
  <si>
    <t>目标广告酒吧</t>
    <phoneticPr fontId="3" type="noConversion"/>
  </si>
  <si>
    <t>目标酒吧</t>
    <phoneticPr fontId="3" type="noConversion"/>
  </si>
  <si>
    <t>日消耗</t>
    <phoneticPr fontId="3" type="noConversion"/>
  </si>
  <si>
    <t>日曝光增长</t>
    <phoneticPr fontId="3" type="noConversion"/>
  </si>
  <si>
    <t>广告曝光</t>
    <phoneticPr fontId="3" type="noConversion"/>
  </si>
  <si>
    <t>ctr增长</t>
    <phoneticPr fontId="3" type="noConversion"/>
  </si>
  <si>
    <t>在线时长</t>
    <phoneticPr fontId="3" type="noConversion"/>
  </si>
  <si>
    <t>消耗增长</t>
    <phoneticPr fontId="3" type="noConversion"/>
  </si>
  <si>
    <t>cvr增长</t>
    <phoneticPr fontId="3" type="noConversion"/>
  </si>
  <si>
    <t>消耗门槛</t>
    <phoneticPr fontId="3" type="noConversion"/>
  </si>
  <si>
    <t>广告订单</t>
    <phoneticPr fontId="3" type="noConversion"/>
  </si>
  <si>
    <t>自然订单</t>
    <phoneticPr fontId="3" type="noConversion"/>
  </si>
  <si>
    <t>MoM</t>
    <phoneticPr fontId="3" type="noConversion"/>
  </si>
  <si>
    <t>原订单</t>
    <phoneticPr fontId="3" type="noConversion"/>
  </si>
  <si>
    <t>新订单</t>
    <phoneticPr fontId="3" type="noConversion"/>
  </si>
  <si>
    <t>预估点击uv</t>
    <phoneticPr fontId="3" type="noConversion"/>
  </si>
  <si>
    <t>预估ACP</t>
    <phoneticPr fontId="3" type="noConversion"/>
  </si>
  <si>
    <t>先做历史数据分析是为了证明ROI是增长的</t>
    <phoneticPr fontId="3" type="noConversion"/>
  </si>
  <si>
    <t>结果数据</t>
    <phoneticPr fontId="3" type="noConversion"/>
  </si>
  <si>
    <t>整体效果</t>
    <phoneticPr fontId="3" type="noConversion"/>
  </si>
  <si>
    <t>自然曝光uv</t>
    <phoneticPr fontId="3" type="noConversion"/>
  </si>
  <si>
    <t>广告曝光uv</t>
    <phoneticPr fontId="3" type="noConversion"/>
  </si>
  <si>
    <t>CTR</t>
    <phoneticPr fontId="3" type="noConversion"/>
  </si>
  <si>
    <t>CVR</t>
    <phoneticPr fontId="3" type="noConversion"/>
  </si>
  <si>
    <t>活动中</t>
    <phoneticPr fontId="3" type="noConversion"/>
  </si>
  <si>
    <t>活动前</t>
    <phoneticPr fontId="3" type="noConversion"/>
  </si>
  <si>
    <t>增长</t>
    <phoneticPr fontId="3" type="noConversion"/>
  </si>
  <si>
    <t>广告消耗</t>
    <phoneticPr fontId="3" type="noConversion"/>
  </si>
  <si>
    <t>活动效果</t>
    <phoneticPr fontId="3" type="noConversion"/>
  </si>
  <si>
    <t>自然CTR</t>
    <phoneticPr fontId="3" type="noConversion"/>
  </si>
  <si>
    <t>广告CTR</t>
    <phoneticPr fontId="3" type="noConversion"/>
  </si>
  <si>
    <t>自然CVR</t>
    <phoneticPr fontId="3" type="noConversion"/>
  </si>
  <si>
    <t>广告CVR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</si>
</sst>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80" formatCode="0.0%"/>
    <numFmt numFmtId="181" formatCode="0_ "/>
    <numFmt numFmtId="182" formatCode="_ * #,##0.00_ ;_ * \-#,##0.00_ ;_ * &quot;-&quot;??_ ;_ @_ "/>
  </numFmts>
  <fonts count="6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180" fontId="2" fillId="0" borderId="0" xfId="0" applyNumberFormat="1" applyFont="1">
      <alignment vertical="center"/>
    </xf>
    <xf numFmtId="9" fontId="2" fillId="0" borderId="0" xfId="2" applyFont="1">
      <alignment vertical="center"/>
    </xf>
    <xf numFmtId="2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81" fontId="2" fillId="0" borderId="1" xfId="0" applyNumberFormat="1" applyFont="1" applyBorder="1">
      <alignment vertical="center"/>
    </xf>
    <xf numFmtId="9" fontId="2" fillId="0" borderId="1" xfId="2" applyFont="1" applyBorder="1">
      <alignment vertical="center"/>
    </xf>
    <xf numFmtId="10" fontId="2" fillId="0" borderId="1" xfId="0" applyNumberFormat="1" applyFont="1" applyBorder="1">
      <alignment vertical="center"/>
    </xf>
    <xf numFmtId="9" fontId="2" fillId="0" borderId="1" xfId="2" applyNumberFormat="1" applyFont="1" applyBorder="1">
      <alignment vertical="center"/>
    </xf>
    <xf numFmtId="10" fontId="2" fillId="0" borderId="1" xfId="2" applyNumberFormat="1" applyFont="1" applyBorder="1">
      <alignment vertical="center"/>
    </xf>
    <xf numFmtId="43" fontId="2" fillId="0" borderId="1" xfId="1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2" borderId="0" xfId="0" applyFont="1" applyFill="1">
      <alignment vertical="center"/>
    </xf>
    <xf numFmtId="1" fontId="4" fillId="0" borderId="0" xfId="0" applyNumberFormat="1" applyFont="1">
      <alignment vertical="center"/>
    </xf>
    <xf numFmtId="10" fontId="4" fillId="0" borderId="0" xfId="2" applyNumberFormat="1" applyFont="1">
      <alignment vertical="center"/>
    </xf>
    <xf numFmtId="1" fontId="2" fillId="0" borderId="1" xfId="0" applyNumberFormat="1" applyFont="1" applyBorder="1">
      <alignment vertical="center"/>
    </xf>
    <xf numFmtId="182" fontId="2" fillId="0" borderId="1" xfId="0" applyNumberFormat="1" applyFont="1" applyBorder="1">
      <alignment vertical="center"/>
    </xf>
    <xf numFmtId="43" fontId="4" fillId="0" borderId="1" xfId="1" applyFont="1" applyBorder="1">
      <alignment vertical="center"/>
    </xf>
    <xf numFmtId="43" fontId="4" fillId="0" borderId="1" xfId="0" applyNumberFormat="1" applyFont="1" applyBorder="1">
      <alignment vertical="center"/>
    </xf>
    <xf numFmtId="0" fontId="5" fillId="3" borderId="0" xfId="0" applyFont="1" applyFill="1">
      <alignment vertical="center"/>
    </xf>
    <xf numFmtId="0" fontId="4" fillId="3" borderId="0" xfId="0" applyFont="1" applyFill="1">
      <alignment vertical="center"/>
    </xf>
    <xf numFmtId="1" fontId="4" fillId="0" borderId="1" xfId="0" applyNumberFormat="1" applyFont="1" applyBorder="1">
      <alignment vertical="center"/>
    </xf>
    <xf numFmtId="10" fontId="4" fillId="0" borderId="1" xfId="2" applyNumberFormat="1" applyFont="1" applyBorder="1">
      <alignment vertical="center"/>
    </xf>
    <xf numFmtId="181" fontId="4" fillId="0" borderId="1" xfId="0" applyNumberFormat="1" applyFont="1" applyBorder="1">
      <alignment vertical="center"/>
    </xf>
    <xf numFmtId="10" fontId="4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4" fillId="0" borderId="0" xfId="2" applyNumberFormat="1" applyFont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CAA7-E2C2-9748-ACAE-56AA83FFA28B}">
  <dimension ref="A1:P60"/>
  <sheetViews>
    <sheetView tabSelected="1" topLeftCell="A33" zoomScale="143" workbookViewId="0">
      <selection activeCell="K51" sqref="K51"/>
    </sheetView>
  </sheetViews>
  <sheetFormatPr baseColWidth="10" defaultRowHeight="15"/>
  <cols>
    <col min="1" max="1" width="13" style="12" bestFit="1" customWidth="1"/>
    <col min="2" max="2" width="13.1640625" style="12" bestFit="1" customWidth="1"/>
    <col min="3" max="3" width="12.83203125" style="12" customWidth="1"/>
    <col min="4" max="7" width="10.83203125" style="12"/>
    <col min="8" max="8" width="12.1640625" style="12" bestFit="1" customWidth="1"/>
    <col min="9" max="10" width="10.83203125" style="12"/>
    <col min="11" max="11" width="13" style="12" bestFit="1" customWidth="1"/>
    <col min="12" max="16384" width="10.83203125" style="12"/>
  </cols>
  <sheetData>
    <row r="1" spans="1:16">
      <c r="A1" s="1" t="s">
        <v>12</v>
      </c>
      <c r="B1" s="3">
        <v>0.3</v>
      </c>
      <c r="C1" s="1"/>
      <c r="D1" s="1"/>
      <c r="E1" s="1"/>
      <c r="F1" s="1"/>
      <c r="G1" s="1"/>
      <c r="H1" s="1"/>
      <c r="I1" s="1"/>
      <c r="J1" s="1"/>
      <c r="K1" s="1" t="s">
        <v>12</v>
      </c>
      <c r="L1" s="2">
        <f>N11</f>
        <v>0.20750000000000002</v>
      </c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13</v>
      </c>
      <c r="B3" s="1">
        <v>1200</v>
      </c>
      <c r="C3" s="1"/>
      <c r="D3" s="1"/>
      <c r="E3" s="1"/>
      <c r="F3" s="1"/>
      <c r="G3" s="1"/>
      <c r="H3" s="1"/>
      <c r="I3" s="1"/>
      <c r="J3" s="1"/>
      <c r="K3" s="1" t="s">
        <v>14</v>
      </c>
      <c r="L3" s="1">
        <v>3400</v>
      </c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7</v>
      </c>
      <c r="B5" s="1">
        <v>2.78</v>
      </c>
      <c r="C5" s="1"/>
      <c r="D5" s="1"/>
      <c r="E5" s="1"/>
      <c r="G5" s="1"/>
      <c r="H5" s="1"/>
      <c r="I5" s="1"/>
      <c r="J5" s="1"/>
      <c r="K5" s="1" t="s">
        <v>7</v>
      </c>
      <c r="L5" s="12">
        <f>B5</f>
        <v>2.78</v>
      </c>
      <c r="M5" s="1"/>
      <c r="N5" s="4">
        <f>L5*1.05</f>
        <v>2.919</v>
      </c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O6" s="1"/>
    </row>
    <row r="7" spans="1:16">
      <c r="A7" s="5" t="s">
        <v>15</v>
      </c>
      <c r="B7" s="5">
        <v>239</v>
      </c>
      <c r="C7" s="5">
        <f>B7*B3*B5</f>
        <v>797304</v>
      </c>
      <c r="E7" s="1"/>
      <c r="F7" s="1"/>
      <c r="G7" s="1"/>
      <c r="H7" s="1"/>
      <c r="I7" s="1"/>
      <c r="J7" s="1"/>
      <c r="K7" s="13"/>
      <c r="L7" s="13" t="s">
        <v>9</v>
      </c>
      <c r="M7" s="13" t="s">
        <v>10</v>
      </c>
      <c r="N7" s="13" t="s">
        <v>8</v>
      </c>
      <c r="O7" s="1"/>
    </row>
    <row r="8" spans="1:16">
      <c r="A8" s="5"/>
      <c r="B8" s="5"/>
      <c r="C8" s="5"/>
      <c r="E8" s="1"/>
      <c r="F8" s="1"/>
      <c r="G8" s="1"/>
      <c r="H8" s="1"/>
      <c r="I8" s="1"/>
      <c r="J8" s="1"/>
      <c r="K8" s="5" t="s">
        <v>16</v>
      </c>
      <c r="L8" s="5">
        <v>6958363</v>
      </c>
      <c r="M8" s="6">
        <f>L8*(1+N8)</f>
        <v>8002117.4499999993</v>
      </c>
      <c r="N8" s="7">
        <v>0.15</v>
      </c>
      <c r="O8" s="1"/>
    </row>
    <row r="9" spans="1:16">
      <c r="A9" s="5" t="s">
        <v>0</v>
      </c>
      <c r="B9" s="6">
        <v>310.7</v>
      </c>
      <c r="C9" s="17">
        <f>B9*B5*B3</f>
        <v>1036495.1999999998</v>
      </c>
      <c r="E9" s="1"/>
      <c r="F9" s="1"/>
      <c r="G9" s="1"/>
      <c r="H9" s="1"/>
      <c r="I9" s="1"/>
      <c r="J9" s="1"/>
      <c r="K9" s="5" t="s">
        <v>17</v>
      </c>
      <c r="L9" s="6">
        <f>L8*60%</f>
        <v>4175017.8</v>
      </c>
      <c r="M9" s="6">
        <f>M8*60%</f>
        <v>4801270.47</v>
      </c>
      <c r="N9" s="5"/>
      <c r="O9" s="1"/>
    </row>
    <row r="10" spans="1:16">
      <c r="A10" s="5"/>
      <c r="B10" s="5"/>
      <c r="C10" s="5"/>
      <c r="D10" s="1"/>
      <c r="E10" s="1"/>
      <c r="F10" s="1"/>
      <c r="G10" s="1"/>
      <c r="H10" s="1"/>
      <c r="I10" s="1"/>
      <c r="J10" s="1"/>
      <c r="K10" s="5" t="s">
        <v>18</v>
      </c>
      <c r="L10" s="8">
        <v>7.3800000000000004E-2</v>
      </c>
      <c r="M10" s="8">
        <f>L10*(1+N10)</f>
        <v>7.7490000000000003E-2</v>
      </c>
      <c r="N10" s="9">
        <v>0.05</v>
      </c>
      <c r="O10" s="1"/>
    </row>
    <row r="11" spans="1:16">
      <c r="A11" s="5" t="s">
        <v>19</v>
      </c>
      <c r="B11" s="5">
        <v>9</v>
      </c>
      <c r="C11" s="5"/>
      <c r="D11" s="2"/>
      <c r="E11" s="1"/>
      <c r="F11" s="1"/>
      <c r="G11" s="1"/>
      <c r="H11" s="1"/>
      <c r="I11" s="1"/>
      <c r="J11" s="1"/>
      <c r="K11" s="5" t="s">
        <v>20</v>
      </c>
      <c r="L11" s="6">
        <f>L9*L10*N5</f>
        <v>899391.51951516001</v>
      </c>
      <c r="M11" s="6">
        <f>M9*M10*N5</f>
        <v>1086015.2598145558</v>
      </c>
      <c r="N11" s="10">
        <f>M11/L11-1</f>
        <v>0.20750000000000002</v>
      </c>
      <c r="O11" s="12">
        <f>L11/L3</f>
        <v>264.52691750445882</v>
      </c>
      <c r="P11" s="12">
        <f>M11/L3</f>
        <v>319.41625288663403</v>
      </c>
    </row>
    <row r="12" spans="1:16">
      <c r="A12" s="5"/>
      <c r="B12" s="5"/>
      <c r="C12" s="5"/>
      <c r="D12" s="1"/>
      <c r="E12" s="1"/>
      <c r="F12" s="1"/>
      <c r="G12" s="1"/>
      <c r="H12" s="1"/>
      <c r="I12" s="1"/>
      <c r="J12" s="1"/>
      <c r="K12" s="5" t="s">
        <v>21</v>
      </c>
      <c r="L12" s="8">
        <v>0.11650000000000001</v>
      </c>
      <c r="M12" s="8">
        <f>L12*(1+N12)</f>
        <v>0.11941249999999999</v>
      </c>
      <c r="N12" s="9">
        <v>2.5000000000000001E-2</v>
      </c>
      <c r="O12" s="1"/>
    </row>
    <row r="13" spans="1:16">
      <c r="A13" s="5" t="s">
        <v>22</v>
      </c>
      <c r="B13" s="6">
        <f>B11*B9</f>
        <v>2796.2999999999997</v>
      </c>
      <c r="C13" s="5"/>
      <c r="D13" s="1"/>
      <c r="E13" s="1"/>
      <c r="F13" s="1"/>
      <c r="G13" s="1"/>
      <c r="H13" s="1"/>
      <c r="I13" s="1"/>
      <c r="J13" s="1"/>
      <c r="K13" s="5" t="s">
        <v>23</v>
      </c>
      <c r="L13" s="6">
        <f>L9*L10*L12</f>
        <v>35895.550539060001</v>
      </c>
      <c r="M13" s="6">
        <f>M9*M10*M12</f>
        <v>44427.474207812818</v>
      </c>
      <c r="N13" s="10">
        <f>M13/L13-1</f>
        <v>0.23768749999999983</v>
      </c>
      <c r="O13" s="1"/>
      <c r="P13" s="1"/>
    </row>
    <row r="14" spans="1:16">
      <c r="A14" s="5"/>
      <c r="B14" s="5"/>
      <c r="C14" s="5"/>
      <c r="D14" s="1"/>
      <c r="E14" s="1"/>
      <c r="F14" s="1"/>
      <c r="G14" s="1"/>
      <c r="H14" s="1"/>
      <c r="I14" s="1"/>
      <c r="J14" s="1"/>
      <c r="K14" s="5" t="s">
        <v>24</v>
      </c>
      <c r="L14" s="6">
        <f>L8*L10*(1+2%)*L12</f>
        <v>61022.435916402006</v>
      </c>
      <c r="M14" s="6">
        <f>M8*M10*(1+3%)*M12</f>
        <v>76267.164056745358</v>
      </c>
      <c r="N14" s="10">
        <f>M14/L14-1</f>
        <v>0.24982169117647057</v>
      </c>
      <c r="O14" s="1"/>
      <c r="P14" s="1"/>
    </row>
    <row r="15" spans="1:16">
      <c r="A15" s="5" t="s">
        <v>25</v>
      </c>
      <c r="B15" s="7">
        <v>0.25</v>
      </c>
      <c r="C15" s="5"/>
      <c r="D15" s="1"/>
      <c r="E15" s="1"/>
      <c r="F15" s="1"/>
      <c r="G15" s="1"/>
      <c r="H15" s="1"/>
      <c r="I15" s="1"/>
      <c r="J15" s="1"/>
      <c r="K15" s="5" t="s">
        <v>1</v>
      </c>
      <c r="L15" s="11">
        <f>L13*B29/L11</f>
        <v>2.6341212744090443</v>
      </c>
      <c r="M15" s="11">
        <f>M13*B29/M11</f>
        <v>2.69997430626927</v>
      </c>
      <c r="N15" s="10">
        <f>M15/L15-1</f>
        <v>2.4999999999999911E-2</v>
      </c>
      <c r="O15" s="1"/>
      <c r="P15" s="1"/>
    </row>
    <row r="16" spans="1:16">
      <c r="A16" s="5" t="s">
        <v>26</v>
      </c>
      <c r="B16" s="6">
        <f>L13/L3</f>
        <v>10.557514864429413</v>
      </c>
      <c r="C16" s="17">
        <f>B16*B3</f>
        <v>12669.017837315296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5" t="s">
        <v>27</v>
      </c>
      <c r="B17" s="6">
        <f>B16*(1+B15)</f>
        <v>13.196893580536766</v>
      </c>
      <c r="C17" s="6">
        <f>C16*(1+B15)</f>
        <v>15836.27229664412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5" t="s">
        <v>28</v>
      </c>
      <c r="B18" s="6">
        <f>B17/L12</f>
        <v>113.27805648529413</v>
      </c>
      <c r="C18" s="6">
        <f>C17/L12</f>
        <v>135933.66778235295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5" t="s">
        <v>29</v>
      </c>
      <c r="B19" s="18">
        <f>B9/B18</f>
        <v>2.7428083570654778</v>
      </c>
      <c r="C19" s="18">
        <f>B19</f>
        <v>2.7428083570654778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5" t="s">
        <v>2</v>
      </c>
      <c r="B20" s="17">
        <f>B17*B29</f>
        <v>870.99497631542658</v>
      </c>
      <c r="C20" s="17">
        <f>C17*B29</f>
        <v>1045193.9715785119</v>
      </c>
      <c r="E20" s="1"/>
      <c r="F20" s="1"/>
      <c r="G20" s="1"/>
      <c r="H20" s="1"/>
      <c r="I20" s="1"/>
      <c r="J20" s="1"/>
      <c r="K20" s="1" t="s">
        <v>11</v>
      </c>
      <c r="L20" s="1"/>
      <c r="M20" s="1"/>
      <c r="N20" s="1"/>
      <c r="O20" s="1"/>
      <c r="P20" s="1"/>
    </row>
    <row r="21" spans="1:16">
      <c r="A21" s="5" t="s">
        <v>1</v>
      </c>
      <c r="B21" s="19">
        <f>B20/B9</f>
        <v>2.8033311114110933</v>
      </c>
      <c r="C21" s="20">
        <f>B21</f>
        <v>2.8033311114110933</v>
      </c>
    </row>
    <row r="25" spans="1:16">
      <c r="K25" s="12" t="s">
        <v>30</v>
      </c>
    </row>
    <row r="26" spans="1:16">
      <c r="A26" s="12" t="s">
        <v>1</v>
      </c>
      <c r="B26" s="12">
        <v>3.5</v>
      </c>
    </row>
    <row r="27" spans="1:16">
      <c r="A27" s="12" t="s">
        <v>3</v>
      </c>
      <c r="B27" s="12">
        <v>311</v>
      </c>
    </row>
    <row r="28" spans="1:16">
      <c r="A28" s="12" t="s">
        <v>2</v>
      </c>
      <c r="B28" s="12">
        <f>B26*B27</f>
        <v>1088.5</v>
      </c>
    </row>
    <row r="29" spans="1:16">
      <c r="A29" s="14" t="s">
        <v>4</v>
      </c>
      <c r="B29" s="14">
        <v>66</v>
      </c>
    </row>
    <row r="30" spans="1:16">
      <c r="A30" s="12" t="s">
        <v>5</v>
      </c>
      <c r="B30" s="15">
        <f>B28/B29</f>
        <v>16.492424242424242</v>
      </c>
    </row>
    <row r="31" spans="1:16">
      <c r="A31" s="12" t="s">
        <v>6</v>
      </c>
      <c r="B31" s="12">
        <f>B27/B32</f>
        <v>135.21739130434784</v>
      </c>
      <c r="D31" s="16">
        <f>B30/B31</f>
        <v>0.12196969696969695</v>
      </c>
    </row>
    <row r="32" spans="1:16">
      <c r="A32" s="12" t="s">
        <v>7</v>
      </c>
      <c r="B32" s="12">
        <v>2.2999999999999998</v>
      </c>
    </row>
    <row r="36" spans="1:4" s="22" customFormat="1">
      <c r="A36" s="21" t="s">
        <v>31</v>
      </c>
    </row>
    <row r="38" spans="1:4">
      <c r="A38" s="12" t="s">
        <v>32</v>
      </c>
    </row>
    <row r="39" spans="1:4">
      <c r="A39" s="27"/>
      <c r="B39" s="27" t="s">
        <v>37</v>
      </c>
      <c r="C39" s="27" t="s">
        <v>38</v>
      </c>
      <c r="D39" s="27" t="s">
        <v>39</v>
      </c>
    </row>
    <row r="40" spans="1:4">
      <c r="A40" s="13" t="s">
        <v>33</v>
      </c>
      <c r="B40" s="23">
        <f>M8*1.01183</f>
        <v>8096782.4994334998</v>
      </c>
      <c r="C40" s="23">
        <f>L8</f>
        <v>6958363</v>
      </c>
      <c r="D40" s="24">
        <f>B40/C40-1</f>
        <v>0.16360449999999993</v>
      </c>
    </row>
    <row r="41" spans="1:4">
      <c r="A41" s="13" t="s">
        <v>34</v>
      </c>
      <c r="B41" s="23">
        <f>B40*60.736%</f>
        <v>4917661.8188559301</v>
      </c>
      <c r="C41" s="25">
        <f>L9</f>
        <v>4175017.8</v>
      </c>
      <c r="D41" s="24">
        <f t="shared" ref="D41:D46" si="0">B41/C41-1</f>
        <v>0.17787804853333333</v>
      </c>
    </row>
    <row r="42" spans="1:4">
      <c r="A42" s="13" t="s">
        <v>35</v>
      </c>
      <c r="B42" s="26">
        <v>7.9699999999999993E-2</v>
      </c>
      <c r="C42" s="24">
        <f>L10</f>
        <v>7.3800000000000004E-2</v>
      </c>
      <c r="D42" s="24">
        <f t="shared" si="0"/>
        <v>7.9945799457994404E-2</v>
      </c>
    </row>
    <row r="43" spans="1:4">
      <c r="A43" s="13" t="s">
        <v>36</v>
      </c>
      <c r="B43" s="26">
        <v>0.12039999999999999</v>
      </c>
      <c r="C43" s="24">
        <f>L12</f>
        <v>0.11650000000000001</v>
      </c>
      <c r="D43" s="24">
        <f t="shared" si="0"/>
        <v>3.3476394849785374E-2</v>
      </c>
    </row>
    <row r="44" spans="1:4">
      <c r="A44" s="13" t="s">
        <v>23</v>
      </c>
      <c r="B44" s="23">
        <f>B41*B42*B43</f>
        <v>47189.292694323238</v>
      </c>
      <c r="C44" s="23">
        <f>C41*C42*C43</f>
        <v>35895.550539060001</v>
      </c>
      <c r="D44" s="24">
        <f t="shared" si="0"/>
        <v>0.31462791308838867</v>
      </c>
    </row>
    <row r="45" spans="1:4">
      <c r="A45" s="13" t="s">
        <v>40</v>
      </c>
      <c r="B45" s="23">
        <f>B41*B42*2.78</f>
        <v>1089586.6585566327</v>
      </c>
      <c r="C45" s="23">
        <f>C41*C42*N5</f>
        <v>899391.51951516001</v>
      </c>
      <c r="D45" s="24">
        <f t="shared" si="0"/>
        <v>0.21147090551176451</v>
      </c>
    </row>
    <row r="46" spans="1:4">
      <c r="A46" s="13" t="s">
        <v>1</v>
      </c>
      <c r="B46" s="19">
        <f>B44*66/B45</f>
        <v>2.8584172661870508</v>
      </c>
      <c r="C46" s="19">
        <f>C44*66/C45</f>
        <v>2.6341212744090443</v>
      </c>
      <c r="D46" s="24">
        <f t="shared" si="0"/>
        <v>8.5150214592274898E-2</v>
      </c>
    </row>
    <row r="49" spans="1:9">
      <c r="A49" s="12" t="s">
        <v>41</v>
      </c>
    </row>
    <row r="50" spans="1:9">
      <c r="A50" s="27"/>
      <c r="B50" s="27" t="s">
        <v>37</v>
      </c>
      <c r="C50" s="27" t="s">
        <v>38</v>
      </c>
      <c r="D50" s="27" t="s">
        <v>39</v>
      </c>
    </row>
    <row r="51" spans="1:9">
      <c r="A51" s="13" t="s">
        <v>33</v>
      </c>
      <c r="B51" s="23">
        <f>M8*1.0876*1076/L3</f>
        <v>2754276.106457388</v>
      </c>
      <c r="C51" s="23">
        <f>M8*F51*1.01836</f>
        <v>2578930.3197608911</v>
      </c>
      <c r="D51" s="24">
        <f>B51/C51-1</f>
        <v>6.7991672885816534E-2</v>
      </c>
      <c r="F51" s="16">
        <f>1076/L3</f>
        <v>0.31647058823529411</v>
      </c>
      <c r="H51" s="28">
        <f>C51*762/1076</f>
        <v>1826342.8472656126</v>
      </c>
      <c r="I51" s="12">
        <f>H51/C51</f>
        <v>0.70817843866171004</v>
      </c>
    </row>
    <row r="52" spans="1:9">
      <c r="A52" s="13" t="s">
        <v>34</v>
      </c>
      <c r="B52" s="23">
        <f>B51*63.23%</f>
        <v>1741528.7821130063</v>
      </c>
      <c r="C52" s="25">
        <f>C51*62%</f>
        <v>1598936.7982517525</v>
      </c>
      <c r="D52" s="24">
        <f t="shared" ref="D52:D60" si="1">B52/C52-1</f>
        <v>8.9179249622099555E-2</v>
      </c>
      <c r="H52" s="16"/>
    </row>
    <row r="53" spans="1:9">
      <c r="A53" s="13" t="s">
        <v>42</v>
      </c>
      <c r="B53" s="24">
        <v>8.2699999999999996E-2</v>
      </c>
      <c r="C53" s="24">
        <v>8.3400000000000002E-2</v>
      </c>
      <c r="D53" s="24">
        <f t="shared" si="1"/>
        <v>-8.3932853717026967E-3</v>
      </c>
      <c r="H53" s="16"/>
    </row>
    <row r="54" spans="1:9">
      <c r="A54" s="13" t="s">
        <v>43</v>
      </c>
      <c r="B54" s="26">
        <v>8.2299999999999998E-2</v>
      </c>
      <c r="C54" s="24">
        <v>8.0199999999999994E-2</v>
      </c>
      <c r="D54" s="24">
        <f t="shared" si="1"/>
        <v>2.6184538653366562E-2</v>
      </c>
      <c r="H54" s="16"/>
    </row>
    <row r="55" spans="1:9">
      <c r="A55" s="13" t="s">
        <v>44</v>
      </c>
      <c r="B55" s="26">
        <v>0.12330000000000001</v>
      </c>
      <c r="C55" s="24">
        <v>0.1217</v>
      </c>
      <c r="D55" s="24">
        <f t="shared" si="1"/>
        <v>1.3147082990961456E-2</v>
      </c>
      <c r="H55" s="16"/>
    </row>
    <row r="56" spans="1:9">
      <c r="A56" s="13" t="s">
        <v>45</v>
      </c>
      <c r="B56" s="26">
        <v>0.1232</v>
      </c>
      <c r="C56" s="24">
        <v>0.12189999999999999</v>
      </c>
      <c r="D56" s="24">
        <f t="shared" si="1"/>
        <v>1.0664479081214262E-2</v>
      </c>
      <c r="H56" s="16"/>
    </row>
    <row r="57" spans="1:9">
      <c r="A57" s="13" t="s">
        <v>24</v>
      </c>
      <c r="B57" s="23">
        <f>B51*B53*B55</f>
        <v>28085.105572696404</v>
      </c>
      <c r="C57" s="23">
        <f>C51*C53*C55</f>
        <v>26175.575380902697</v>
      </c>
      <c r="D57" s="24">
        <f t="shared" si="1"/>
        <v>7.2950839246378907E-2</v>
      </c>
      <c r="H57" s="16">
        <f>(C57/F51)/(C40*C42*C43)-1</f>
        <v>0.38252665886457971</v>
      </c>
    </row>
    <row r="58" spans="1:9">
      <c r="A58" s="13" t="s">
        <v>23</v>
      </c>
      <c r="B58" s="23">
        <f>B52*B54*B56</f>
        <v>17657.98727220533</v>
      </c>
      <c r="C58" s="23">
        <f>C52*C54*C56</f>
        <v>15631.813735692467</v>
      </c>
      <c r="D58" s="24">
        <f t="shared" si="1"/>
        <v>0.12961858238410651</v>
      </c>
      <c r="H58" s="16"/>
    </row>
    <row r="59" spans="1:9">
      <c r="A59" s="13" t="s">
        <v>40</v>
      </c>
      <c r="B59" s="23">
        <f>B52*B54*2.74</f>
        <v>392718.22342404712</v>
      </c>
      <c r="C59" s="23">
        <f>C52*C54*2.85</f>
        <v>365468.98397640308</v>
      </c>
      <c r="D59" s="24">
        <f t="shared" si="1"/>
        <v>7.455964977154772E-2</v>
      </c>
      <c r="H59" s="16">
        <f>(B59/F51)/C45-1</f>
        <v>0.37974526369461103</v>
      </c>
    </row>
    <row r="60" spans="1:9">
      <c r="A60" s="13" t="s">
        <v>1</v>
      </c>
      <c r="B60" s="19">
        <f>B58*66/B59</f>
        <v>2.9675912408759122</v>
      </c>
      <c r="C60" s="19">
        <f>C58*66/C59</f>
        <v>2.8229473684210524</v>
      </c>
      <c r="D60" s="24">
        <f t="shared" si="1"/>
        <v>5.1238600504182497E-2</v>
      </c>
      <c r="H60" s="16">
        <f>B60/C46-1</f>
        <v>0.12659628457755079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Zhaohui Zhu</dc:creator>
  <cp:lastModifiedBy>Zhaohui Zhu</cp:lastModifiedBy>
  <dcterms:created xsi:type="dcterms:W3CDTF">2024-08-19T21:00:36Z</dcterms:created>
  <dcterms:modified xsi:type="dcterms:W3CDTF">2024-08-28T06:23:58Z</dcterms:modified>
</cp:coreProperties>
</file>