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aohui/Desktop/职计划/远程实习-萱轩/"/>
    </mc:Choice>
  </mc:AlternateContent>
  <xr:revisionPtr revIDLastSave="0" documentId="8_{4FFD7503-6313-AD4C-94D5-CAD09E704AB8}" xr6:coauthVersionLast="47" xr6:coauthVersionMax="47" xr10:uidLastSave="{00000000-0000-0000-0000-000000000000}"/>
  <bookViews>
    <workbookView xWindow="1060" yWindow="860" windowWidth="28100" windowHeight="17200" xr2:uid="{6D87B5C3-9087-BA41-8487-EE2A546AF2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B21" i="1"/>
  <c r="B23" i="1"/>
  <c r="B24" i="1"/>
  <c r="B25" i="1"/>
  <c r="B26" i="1"/>
  <c r="D18" i="1"/>
  <c r="C8" i="1"/>
  <c r="C12" i="1" s="1"/>
  <c r="B8" i="1"/>
  <c r="B12" i="1" s="1"/>
  <c r="C10" i="1"/>
  <c r="C11" i="1" s="1"/>
  <c r="C13" i="1" s="1"/>
  <c r="B10" i="1"/>
  <c r="D6" i="1"/>
  <c r="D5" i="1"/>
  <c r="D12" i="1" l="1"/>
  <c r="B11" i="1"/>
  <c r="B13" i="1" s="1"/>
  <c r="D13" i="1" s="1"/>
  <c r="D10" i="1"/>
  <c r="D8" i="1"/>
  <c r="D11" i="1"/>
  <c r="C21" i="1"/>
  <c r="C23" i="1" l="1"/>
  <c r="D23" i="1" s="1"/>
  <c r="D21" i="1"/>
  <c r="C25" i="1"/>
  <c r="D25" i="1" s="1"/>
  <c r="C24" i="1"/>
  <c r="C26" i="1" l="1"/>
  <c r="D26" i="1" s="1"/>
  <c r="D24" i="1"/>
</calcChain>
</file>

<file path=xl/sharedStrings.xml><?xml version="1.0" encoding="utf-8"?>
<sst xmlns="http://schemas.openxmlformats.org/spreadsheetml/2006/main" count="27" uniqueCount="13">
  <si>
    <t>历史数据</t>
    <phoneticPr fontId="2" type="noConversion"/>
  </si>
  <si>
    <t>历史模拟预测</t>
    <phoneticPr fontId="2" type="noConversion"/>
  </si>
  <si>
    <t>预计增长</t>
    <phoneticPr fontId="2" type="noConversion"/>
  </si>
  <si>
    <t>ACP</t>
    <phoneticPr fontId="2" type="noConversion"/>
  </si>
  <si>
    <t>CTR</t>
    <phoneticPr fontId="2" type="noConversion"/>
  </si>
  <si>
    <t>曝光uv</t>
    <phoneticPr fontId="2" type="noConversion"/>
  </si>
  <si>
    <t>-</t>
    <phoneticPr fontId="2" type="noConversion"/>
  </si>
  <si>
    <t>CVR</t>
    <phoneticPr fontId="2" type="noConversion"/>
  </si>
  <si>
    <t>订单量</t>
    <phoneticPr fontId="2" type="noConversion"/>
  </si>
  <si>
    <t>GMV</t>
    <phoneticPr fontId="2" type="noConversion"/>
  </si>
  <si>
    <t>点击量</t>
    <phoneticPr fontId="2" type="noConversion"/>
  </si>
  <si>
    <t>消耗</t>
    <phoneticPr fontId="2" type="noConversion"/>
  </si>
  <si>
    <t>竞价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</si>
</sst>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1" applyNumberFormat="1" applyFont="1" applyBorder="1">
      <alignment vertical="center"/>
    </xf>
    <xf numFmtId="10" fontId="0" fillId="0" borderId="1" xfId="0" applyNumberFormat="1" applyBorder="1">
      <alignment vertical="center"/>
    </xf>
    <xf numFmtId="1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944B-8CD8-D546-8D68-D5321400D096}">
  <dimension ref="A2:D26"/>
  <sheetViews>
    <sheetView tabSelected="1" topLeftCell="A4" workbookViewId="0">
      <selection activeCell="A17" sqref="A17:D26"/>
    </sheetView>
  </sheetViews>
  <sheetFormatPr baseColWidth="10" defaultRowHeight="16"/>
  <cols>
    <col min="2" max="2" width="13.6640625" bestFit="1" customWidth="1"/>
    <col min="3" max="3" width="14.1640625" bestFit="1" customWidth="1"/>
  </cols>
  <sheetData>
    <row r="2" spans="1:4">
      <c r="A2" t="s">
        <v>12</v>
      </c>
    </row>
    <row r="4" spans="1:4">
      <c r="A4" s="1"/>
      <c r="B4" s="1" t="s">
        <v>0</v>
      </c>
      <c r="C4" s="1" t="s">
        <v>1</v>
      </c>
      <c r="D4" s="1" t="s">
        <v>2</v>
      </c>
    </row>
    <row r="5" spans="1:4">
      <c r="A5" s="1" t="s">
        <v>3</v>
      </c>
      <c r="B5" s="1">
        <v>2</v>
      </c>
      <c r="C5" s="1">
        <v>3.05</v>
      </c>
      <c r="D5" s="2">
        <f>C5/B5-1</f>
        <v>0.52499999999999991</v>
      </c>
    </row>
    <row r="6" spans="1:4">
      <c r="A6" s="1" t="s">
        <v>5</v>
      </c>
      <c r="B6" s="1">
        <v>2623876</v>
      </c>
      <c r="C6" s="1">
        <v>3165532</v>
      </c>
      <c r="D6" s="2">
        <f>C6/B6-1</f>
        <v>0.20643353573110934</v>
      </c>
    </row>
    <row r="7" spans="1:4">
      <c r="A7" s="1" t="s">
        <v>4</v>
      </c>
      <c r="B7" s="3">
        <v>4.36E-2</v>
      </c>
      <c r="C7" s="3">
        <v>4.36E-2</v>
      </c>
      <c r="D7" s="1" t="s">
        <v>6</v>
      </c>
    </row>
    <row r="8" spans="1:4">
      <c r="A8" s="1" t="s">
        <v>10</v>
      </c>
      <c r="B8" s="4">
        <f>B6*B7</f>
        <v>114400.9936</v>
      </c>
      <c r="C8" s="4">
        <f>C6*C7</f>
        <v>138017.19519999999</v>
      </c>
      <c r="D8" s="2">
        <f>C8/B8-1</f>
        <v>0.20643353573110912</v>
      </c>
    </row>
    <row r="9" spans="1:4">
      <c r="A9" s="1" t="s">
        <v>7</v>
      </c>
      <c r="B9" s="3">
        <v>4.2099999999999999E-2</v>
      </c>
      <c r="C9" s="3">
        <v>4.2099999999999999E-2</v>
      </c>
      <c r="D9" s="1"/>
    </row>
    <row r="10" spans="1:4">
      <c r="A10" s="1" t="s">
        <v>8</v>
      </c>
      <c r="B10" s="4">
        <f>B6*B7*B9</f>
        <v>4816.2818305600003</v>
      </c>
      <c r="C10" s="4">
        <f>C6*C7*C9</f>
        <v>5810.5239179199989</v>
      </c>
      <c r="D10" s="2">
        <f t="shared" ref="D10:D13" si="0">C10/B10-1</f>
        <v>0.2064335357311089</v>
      </c>
    </row>
    <row r="11" spans="1:4">
      <c r="A11" s="1" t="s">
        <v>9</v>
      </c>
      <c r="B11" s="4">
        <f>B10*412.36</f>
        <v>1986041.9756497219</v>
      </c>
      <c r="C11" s="4">
        <f>C10*412.36</f>
        <v>2396027.642793491</v>
      </c>
      <c r="D11" s="2">
        <f t="shared" si="0"/>
        <v>0.2064335357311089</v>
      </c>
    </row>
    <row r="12" spans="1:4">
      <c r="A12" s="1" t="s">
        <v>11</v>
      </c>
      <c r="B12" s="4">
        <f>B5*B8</f>
        <v>228801.9872</v>
      </c>
      <c r="C12" s="4">
        <f>C5*C8</f>
        <v>420952.44535999995</v>
      </c>
      <c r="D12" s="2">
        <f t="shared" si="0"/>
        <v>0.83981114198994145</v>
      </c>
    </row>
    <row r="13" spans="1:4">
      <c r="A13" s="1" t="s">
        <v>9</v>
      </c>
      <c r="B13" s="5">
        <f>B11/B12</f>
        <v>8.6801780000000015</v>
      </c>
      <c r="C13" s="5">
        <f>C11/C12</f>
        <v>5.6919200000000005</v>
      </c>
      <c r="D13" s="2">
        <f t="shared" si="0"/>
        <v>-0.34426229508196726</v>
      </c>
    </row>
    <row r="17" spans="1:4">
      <c r="A17" s="1"/>
      <c r="B17" s="1" t="s">
        <v>0</v>
      </c>
      <c r="C17" s="1" t="s">
        <v>1</v>
      </c>
      <c r="D17" s="1" t="s">
        <v>2</v>
      </c>
    </row>
    <row r="18" spans="1:4">
      <c r="A18" s="1" t="s">
        <v>3</v>
      </c>
      <c r="B18" s="1">
        <v>2</v>
      </c>
      <c r="C18" s="1">
        <v>3.05</v>
      </c>
      <c r="D18" s="2">
        <f>C18/B18-1</f>
        <v>0.52499999999999991</v>
      </c>
    </row>
    <row r="19" spans="1:4">
      <c r="A19" s="1" t="s">
        <v>5</v>
      </c>
      <c r="B19" s="1">
        <v>2623876</v>
      </c>
      <c r="C19" s="4">
        <f>C6*(1+15%)</f>
        <v>3640361.8</v>
      </c>
      <c r="D19" s="2">
        <f>C19/B19-1</f>
        <v>0.3873985660907755</v>
      </c>
    </row>
    <row r="20" spans="1:4">
      <c r="A20" s="1" t="s">
        <v>4</v>
      </c>
      <c r="B20" s="3">
        <v>4.36E-2</v>
      </c>
      <c r="C20" s="3">
        <v>4.36E-2</v>
      </c>
      <c r="D20" s="1" t="s">
        <v>6</v>
      </c>
    </row>
    <row r="21" spans="1:4">
      <c r="A21" s="1" t="s">
        <v>10</v>
      </c>
      <c r="B21" s="4">
        <f>B19*B20</f>
        <v>114400.9936</v>
      </c>
      <c r="C21" s="4">
        <f>C19*C20</f>
        <v>158719.77447999999</v>
      </c>
      <c r="D21" s="2">
        <f>C21/B21-1</f>
        <v>0.3873985660907755</v>
      </c>
    </row>
    <row r="22" spans="1:4">
      <c r="A22" s="1" t="s">
        <v>7</v>
      </c>
      <c r="B22" s="3">
        <v>4.2099999999999999E-2</v>
      </c>
      <c r="C22" s="3">
        <v>4.2099999999999999E-2</v>
      </c>
      <c r="D22" s="1"/>
    </row>
    <row r="23" spans="1:4">
      <c r="A23" s="1" t="s">
        <v>8</v>
      </c>
      <c r="B23" s="4">
        <f>B19*B20*B22</f>
        <v>4816.2818305600003</v>
      </c>
      <c r="C23" s="4">
        <f>C19*C20*C22</f>
        <v>6682.1025056079998</v>
      </c>
      <c r="D23" s="2">
        <f t="shared" ref="D23:D26" si="1">C23/B23-1</f>
        <v>0.3873985660907755</v>
      </c>
    </row>
    <row r="24" spans="1:4">
      <c r="A24" s="1" t="s">
        <v>9</v>
      </c>
      <c r="B24" s="4">
        <f>B23*412.36</f>
        <v>1986041.9756497219</v>
      </c>
      <c r="C24" s="4">
        <f>C23*412.36</f>
        <v>2755431.7892125146</v>
      </c>
      <c r="D24" s="2">
        <f t="shared" si="1"/>
        <v>0.38739856609077528</v>
      </c>
    </row>
    <row r="25" spans="1:4">
      <c r="A25" s="1" t="s">
        <v>11</v>
      </c>
      <c r="B25" s="4">
        <f>B18*B21</f>
        <v>228801.9872</v>
      </c>
      <c r="C25" s="4">
        <f>C18*C21</f>
        <v>484095.31216399994</v>
      </c>
      <c r="D25" s="2">
        <f t="shared" si="1"/>
        <v>1.1157828132884324</v>
      </c>
    </row>
    <row r="26" spans="1:4">
      <c r="A26" s="1" t="s">
        <v>9</v>
      </c>
      <c r="B26" s="5">
        <f>B24/B25</f>
        <v>8.6801780000000015</v>
      </c>
      <c r="C26" s="5">
        <f>C24/C25</f>
        <v>5.6919200000000005</v>
      </c>
      <c r="D26" s="2">
        <f t="shared" si="1"/>
        <v>-0.34426229508196726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Zhaohui Zhu</dc:creator>
  <cp:lastModifiedBy>Zhaohui Zhu</cp:lastModifiedBy>
  <dcterms:created xsi:type="dcterms:W3CDTF">2025-01-09T19:45:36Z</dcterms:created>
  <dcterms:modified xsi:type="dcterms:W3CDTF">2025-01-10T14:03:23Z</dcterms:modified>
</cp:coreProperties>
</file>