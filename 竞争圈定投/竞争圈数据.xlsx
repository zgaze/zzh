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<sst xmlns="http://schemas.openxmlformats.org/spreadsheetml/2006/main" count="41" uniqueCount="23">
  <si>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r>
      <t>A</t>
    </r>
    <r>
      <rPr>
        <sz val="12"/>
        <color theme="1"/>
        <rFont val="宋体"/>
        <charset val="134"/>
        <scheme val="minor"/>
      </rPr>
      <t>组</t>
    </r>
  </si>
  <si>
    <r>
      <t>B</t>
    </r>
    <r>
      <rPr>
        <sz val="12"/>
        <color theme="1"/>
        <rFont val="宋体"/>
        <charset val="134"/>
        <scheme val="minor"/>
      </rPr>
      <t>组</t>
    </r>
  </si>
  <si>
    <t>增长</t>
  </si>
  <si>
    <t>单个poi点击</t>
  </si>
  <si>
    <t>曝光</t>
  </si>
  <si>
    <r>
      <t>曝光</t>
    </r>
    <r>
      <rPr>
        <sz val="12"/>
        <color theme="1"/>
        <rFont val="Calibri"/>
        <charset val="134"/>
      </rPr>
      <t>uv</t>
    </r>
  </si>
  <si>
    <t>CTR</t>
  </si>
  <si>
    <t>CVR</t>
  </si>
  <si>
    <t>广告总</t>
  </si>
  <si>
    <t>GMV</t>
  </si>
  <si>
    <t>cost</t>
  </si>
  <si>
    <t>ROI</t>
  </si>
  <si>
    <t>广告曝光</t>
  </si>
  <si>
    <t>广告ctr</t>
  </si>
  <si>
    <t>二期</t>
  </si>
  <si>
    <r>
      <t>A</t>
    </r>
    <r>
      <rPr>
        <b/>
        <sz val="12"/>
        <color theme="1"/>
        <rFont val="宋体"/>
        <charset val="134"/>
        <scheme val="minor"/>
      </rPr>
      <t>组</t>
    </r>
  </si>
  <si>
    <r>
      <t>B</t>
    </r>
    <r>
      <rPr>
        <b/>
        <sz val="12"/>
        <color theme="1"/>
        <rFont val="宋体"/>
        <charset val="134"/>
        <scheme val="minor"/>
      </rPr>
      <t>组</t>
    </r>
  </si>
  <si>
    <t xml:space="preserve"> </t>
  </si>
  <si>
    <r>
      <t>2</t>
    </r>
    <r>
      <rPr>
        <b/>
        <sz val="12"/>
        <color theme="1"/>
        <rFont val="宋体"/>
        <charset val="134"/>
        <scheme val="minor"/>
      </rPr>
      <t>、广告数据</t>
    </r>
  </si>
  <si>
    <r>
      <t>广告</t>
    </r>
    <r>
      <rPr>
        <sz val="12"/>
        <color theme="1"/>
        <rFont val="Calibri"/>
        <charset val="134"/>
      </rPr>
      <t>CTR</t>
    </r>
  </si>
  <si>
    <r>
      <t>广告</t>
    </r>
    <r>
      <rPr>
        <sz val="12"/>
        <color theme="1"/>
        <rFont val="Calibri"/>
        <charset val="134"/>
      </rPr>
      <t>GMV</t>
    </r>
  </si>
  <si>
    <t>三期</t>
  </si>
  <si>
    <t>总cost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</si>
</sst>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%"/>
  </numFmts>
  <fonts count="26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2"/>
      <color theme="1"/>
      <name val="Calibri"/>
      <charset val="134"/>
    </font>
    <font>
      <b/>
      <sz val="12"/>
      <color theme="1"/>
      <name val="宋体"/>
      <charset val="134"/>
      <scheme val="minor"/>
    </font>
    <font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top" wrapText="1"/>
    </xf>
    <xf numFmtId="176" fontId="1" fillId="0" borderId="2" xfId="0" applyNumberFormat="1" applyFont="1" applyBorder="1" applyAlignment="1">
      <alignment horizontal="justify" vertical="top" wrapText="1"/>
    </xf>
    <xf numFmtId="10" fontId="1" fillId="0" borderId="2" xfId="3" applyNumberFormat="1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10" fontId="1" fillId="0" borderId="2" xfId="0" applyNumberFormat="1" applyFont="1" applyBorder="1" applyAlignment="1">
      <alignment horizontal="justify" vertical="top" wrapText="1"/>
    </xf>
    <xf numFmtId="0" fontId="0" fillId="0" borderId="2" xfId="0" applyBorder="1">
      <alignment vertical="center"/>
    </xf>
    <xf numFmtId="177" fontId="0" fillId="0" borderId="0" xfId="3" applyNumberFormat="1">
      <alignment vertical="center"/>
    </xf>
    <xf numFmtId="10" fontId="0" fillId="0" borderId="0" xfId="0" applyNumberFormat="1">
      <alignment vertical="center"/>
    </xf>
    <xf numFmtId="10" fontId="0" fillId="0" borderId="0" xfId="3" applyNumberFormat="1">
      <alignment vertical="center"/>
    </xf>
    <xf numFmtId="0" fontId="3" fillId="0" borderId="0" xfId="0" applyFont="1" applyAlignment="1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top" wrapText="1"/>
    </xf>
    <xf numFmtId="10" fontId="6" fillId="0" borderId="2" xfId="0" applyNumberFormat="1" applyFont="1" applyBorder="1" applyAlignment="1">
      <alignment horizontal="justify" vertical="top" wrapText="1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10" fontId="1" fillId="0" borderId="2" xfId="0" applyNumberFormat="1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43" fontId="1" fillId="0" borderId="2" xfId="0" applyNumberFormat="1" applyFont="1" applyBorder="1" applyAlignment="1">
      <alignment horizontal="justify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topLeftCell="A20" workbookViewId="0">
      <selection activeCell="H37" sqref="H37"/>
    </sheetView>
  </sheetViews>
  <sheetFormatPr defaultColWidth="9.23076923076923" defaultRowHeight="16.8"/>
  <cols>
    <col min="1" max="1" width="16.6634615384615" customWidth="1"/>
    <col min="2" max="3" width="11.7692307692308" customWidth="1"/>
    <col min="4" max="4" width="11" customWidth="1"/>
    <col min="6" max="6" width="14.0769230769231"/>
    <col min="13" max="14" width="12.9230769230769"/>
  </cols>
  <sheetData>
    <row r="1" ht="18.75" spans="1:14">
      <c r="A1" s="1"/>
      <c r="B1" s="2" t="s">
        <v>0</v>
      </c>
      <c r="C1" s="2" t="s">
        <v>1</v>
      </c>
      <c r="D1" s="3" t="s">
        <v>2</v>
      </c>
      <c r="M1" t="s">
        <v>3</v>
      </c>
      <c r="N1" t="s">
        <v>4</v>
      </c>
    </row>
    <row r="2" ht="18.35" spans="1:14">
      <c r="A2" s="4" t="s">
        <v>5</v>
      </c>
      <c r="B2" s="5">
        <f>N4*18</f>
        <v>1642336.94794953</v>
      </c>
      <c r="C2" s="5">
        <f>N3*18</f>
        <v>1318336.94794953</v>
      </c>
      <c r="D2" s="6">
        <f>B2/C2-1</f>
        <v>0.245764180776343</v>
      </c>
      <c r="E2">
        <f>B2-C2</f>
        <v>324000</v>
      </c>
      <c r="L2">
        <v>1337321</v>
      </c>
      <c r="M2" s="26">
        <f>L2/18</f>
        <v>74295.6111111111</v>
      </c>
      <c r="N2">
        <f>M2/6.34%</f>
        <v>1171855.06484402</v>
      </c>
    </row>
    <row r="3" ht="18.35" spans="1:14">
      <c r="A3" s="7" t="s">
        <v>6</v>
      </c>
      <c r="B3" s="8">
        <v>0.0609</v>
      </c>
      <c r="C3" s="8">
        <v>0.0623</v>
      </c>
      <c r="D3" s="6">
        <f>B3/C3-1</f>
        <v>-0.0224719101123596</v>
      </c>
      <c r="N3">
        <f>N2/16</f>
        <v>73240.9415527515</v>
      </c>
    </row>
    <row r="4" ht="18.35" spans="1:14">
      <c r="A4" s="7" t="s">
        <v>7</v>
      </c>
      <c r="B4" s="7"/>
      <c r="C4" s="7"/>
      <c r="D4" s="7"/>
      <c r="M4" t="s">
        <v>8</v>
      </c>
      <c r="N4">
        <f>18000+N3</f>
        <v>91240.9415527515</v>
      </c>
    </row>
    <row r="5" ht="18.75" spans="1:14">
      <c r="A5" s="7" t="s">
        <v>9</v>
      </c>
      <c r="B5" s="7"/>
      <c r="C5" s="7"/>
      <c r="D5" s="7"/>
      <c r="N5">
        <f>N4/N3-1</f>
        <v>0.245764180776343</v>
      </c>
    </row>
    <row r="6" ht="18.75" spans="1:4">
      <c r="A6" s="7" t="s">
        <v>10</v>
      </c>
      <c r="B6" s="7"/>
      <c r="C6" s="7"/>
      <c r="D6" s="7"/>
    </row>
    <row r="7" ht="18.75" spans="1:4">
      <c r="A7" s="7" t="s">
        <v>11</v>
      </c>
      <c r="B7" s="7"/>
      <c r="C7" s="7"/>
      <c r="D7" s="9"/>
    </row>
    <row r="11" spans="1:3">
      <c r="A11" t="s">
        <v>12</v>
      </c>
      <c r="B11">
        <v>517263</v>
      </c>
      <c r="C11" s="10">
        <f>B11/B2</f>
        <v>0.314955466748652</v>
      </c>
    </row>
    <row r="12" spans="1:3">
      <c r="A12" t="s">
        <v>13</v>
      </c>
      <c r="B12" s="11">
        <v>0.0577</v>
      </c>
      <c r="C12" s="12">
        <f>B12*C11+(1-C11)*C3</f>
        <v>0.0608512048529562</v>
      </c>
    </row>
    <row r="13" spans="2:2">
      <c r="B13" s="13">
        <v>320689</v>
      </c>
    </row>
    <row r="14" spans="2:2">
      <c r="B14" s="14">
        <v>58109</v>
      </c>
    </row>
    <row r="15" spans="2:2">
      <c r="B15">
        <f>B13/B14</f>
        <v>5.51874924710458</v>
      </c>
    </row>
    <row r="18" spans="1:1">
      <c r="A18" t="s">
        <v>14</v>
      </c>
    </row>
    <row r="19" ht="17.55"/>
    <row r="20" ht="18.75" spans="1:4">
      <c r="A20" s="15"/>
      <c r="B20" s="16" t="s">
        <v>15</v>
      </c>
      <c r="C20" s="16" t="s">
        <v>16</v>
      </c>
      <c r="D20" s="17" t="s">
        <v>2</v>
      </c>
    </row>
    <row r="21" ht="18.35" spans="1:6">
      <c r="A21" s="4" t="s">
        <v>5</v>
      </c>
      <c r="B21" s="18">
        <v>1589831</v>
      </c>
      <c r="C21" s="18">
        <v>1339861</v>
      </c>
      <c r="D21" s="19">
        <f>B21/C21-1</f>
        <v>0.186564128667078</v>
      </c>
      <c r="F21">
        <f>B21/B2-1</f>
        <v>-0.0319702653070559</v>
      </c>
    </row>
    <row r="22" ht="18.35" spans="1:4">
      <c r="A22" s="7" t="s">
        <v>6</v>
      </c>
      <c r="B22" s="19">
        <v>0.0618</v>
      </c>
      <c r="C22" s="19">
        <v>0.0621</v>
      </c>
      <c r="D22" s="19">
        <f>B22/C22-1</f>
        <v>-0.00483091787439627</v>
      </c>
    </row>
    <row r="23" ht="18" spans="1:1">
      <c r="A23" s="20" t="s">
        <v>17</v>
      </c>
    </row>
    <row r="24" ht="18.75" spans="1:2">
      <c r="A24" s="21" t="s">
        <v>18</v>
      </c>
      <c r="B24" s="21"/>
    </row>
    <row r="25" ht="18.35" spans="1:4">
      <c r="A25" s="3" t="s">
        <v>12</v>
      </c>
      <c r="B25" s="2">
        <v>501543</v>
      </c>
      <c r="C25"/>
      <c r="D25">
        <f>B25/B21</f>
        <v>0.315469380078763</v>
      </c>
    </row>
    <row r="26" ht="18.35" spans="1:6">
      <c r="A26" s="22" t="s">
        <v>19</v>
      </c>
      <c r="B26" s="23">
        <v>0.0612</v>
      </c>
      <c r="C26"/>
      <c r="D26" s="12">
        <f>D25*B26+(1-D25)*C22</f>
        <v>0.0618160775579291</v>
      </c>
      <c r="F26">
        <f>B26/B12-1</f>
        <v>0.0606585788561527</v>
      </c>
    </row>
    <row r="27" ht="18.35" spans="1:2">
      <c r="A27" s="22" t="s">
        <v>20</v>
      </c>
      <c r="B27" s="24">
        <v>329831</v>
      </c>
    </row>
    <row r="28" ht="18.35" spans="1:2">
      <c r="A28" s="24" t="s">
        <v>10</v>
      </c>
      <c r="B28" s="24">
        <v>57931</v>
      </c>
    </row>
    <row r="29" ht="18.35" spans="1:2">
      <c r="A29" s="24" t="s">
        <v>11</v>
      </c>
      <c r="B29" s="25">
        <f>B27/B28</f>
        <v>5.69351469852065</v>
      </c>
    </row>
    <row r="34" spans="1:1">
      <c r="A34" t="s">
        <v>21</v>
      </c>
    </row>
    <row r="35" ht="17.55"/>
    <row r="36" ht="18.75" spans="1:4">
      <c r="A36" s="15"/>
      <c r="B36" s="16" t="s">
        <v>15</v>
      </c>
      <c r="C36" s="16" t="s">
        <v>16</v>
      </c>
      <c r="D36" s="17" t="s">
        <v>2</v>
      </c>
    </row>
    <row r="37" ht="18.35" spans="1:6">
      <c r="A37" s="4" t="s">
        <v>5</v>
      </c>
      <c r="B37" s="18">
        <v>1776939</v>
      </c>
      <c r="C37" s="18">
        <v>1326542</v>
      </c>
      <c r="D37" s="19">
        <f>B37/C37-1</f>
        <v>0.33952713144401</v>
      </c>
      <c r="F37">
        <f>B37/B21-1</f>
        <v>0.117690496662853</v>
      </c>
    </row>
    <row r="38" ht="18.35" spans="1:4">
      <c r="A38" s="7" t="s">
        <v>6</v>
      </c>
      <c r="B38" s="19">
        <v>0.0627</v>
      </c>
      <c r="C38" s="19">
        <v>0.0632</v>
      </c>
      <c r="D38" s="19">
        <f>B38/C38-1</f>
        <v>-0.00791139240506356</v>
      </c>
    </row>
    <row r="39" ht="18" spans="1:1">
      <c r="A39" s="20" t="s">
        <v>17</v>
      </c>
    </row>
    <row r="40" ht="18.75" spans="1:2">
      <c r="A40" s="21" t="s">
        <v>18</v>
      </c>
      <c r="B40" s="21"/>
    </row>
    <row r="41" ht="18.35" spans="1:6">
      <c r="A41" s="3" t="s">
        <v>12</v>
      </c>
      <c r="B41" s="2">
        <v>565784</v>
      </c>
      <c r="D41">
        <f>B41/B37</f>
        <v>0.318403726858378</v>
      </c>
      <c r="F41">
        <f>B41/B25-1</f>
        <v>0.128086724368599</v>
      </c>
    </row>
    <row r="42" ht="18.35" spans="1:4">
      <c r="A42" s="22" t="s">
        <v>19</v>
      </c>
      <c r="B42" s="23">
        <v>0.0615</v>
      </c>
      <c r="D42" s="12">
        <f>D41*B42+(1-D41)*C38</f>
        <v>0.0626587136643408</v>
      </c>
    </row>
    <row r="43" ht="18.35" spans="1:2">
      <c r="A43" s="22" t="s">
        <v>20</v>
      </c>
      <c r="B43" s="24">
        <v>376729</v>
      </c>
    </row>
    <row r="44" ht="18.35" spans="1:2">
      <c r="A44" s="24" t="s">
        <v>10</v>
      </c>
      <c r="B44" s="24">
        <v>58028</v>
      </c>
    </row>
    <row r="45" ht="18.75" spans="1:2">
      <c r="A45" s="24" t="s">
        <v>11</v>
      </c>
      <c r="B45" s="25">
        <f>B43/B44</f>
        <v>6.49219342386434</v>
      </c>
    </row>
    <row r="50" spans="1:3">
      <c r="A50" t="s">
        <v>22</v>
      </c>
      <c r="B50">
        <f>B44+B28+B14</f>
        <v>174068</v>
      </c>
      <c r="C50">
        <f>B50*2</f>
        <v>348136</v>
      </c>
    </row>
  </sheetData>
  <mergeCells count="2">
    <mergeCell ref="A24:B24"/>
    <mergeCell ref="A40:B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 </dc:creator>
  <cp:lastModifiedBy>zhuzhaohui </cp:lastModifiedBy>
  <dcterms:created xsi:type="dcterms:W3CDTF">2024-07-19T08:48:16Z</dcterms:created>
  <dcterms:modified xsi:type="dcterms:W3CDTF">2024-07-19T10:08:38Z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5B7AD6C871B53883401A9A66D3164139_41</vt:lpwstr>
  </property>
  <property fmtid="{D5CDD505-2E9C-101B-9397-08002B2CF9AE}" pid="3" name="KSOProductBuildVer">
    <vt:lpwstr>2052-6.7.1.8828</vt:lpwstr>
  </property>
</Properties>
</file>