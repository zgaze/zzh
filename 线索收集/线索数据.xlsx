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/>
  <mc:AlternateContent xmlns:mc="http://schemas.openxmlformats.org/markup-compatibility/2006">
    <mc:Choice Requires="x15">
      <x15ac:absPath xmlns:x15ac="http://schemas.microsoft.com/office/spreadsheetml/2010/11/ac" url="/Users/zhuzhaohui/Desktop/职计划/远程实习-萱轩/线索收集/"/>
    </mc:Choice>
  </mc:AlternateContent>
  <xr:revisionPtr revIDLastSave="0" documentId="13_ncr:1_{661AD11E-96AC-CE4C-97FC-C26198A8704C}" xr6:coauthVersionLast="47" xr6:coauthVersionMax="47" xr10:uidLastSave="{00000000-0000-0000-0000-000000000000}"/>
  <bookViews>
    <workbookView xWindow="0" yWindow="760" windowWidth="30240" windowHeight="1456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2" l="1"/>
  <c r="H31" i="2"/>
  <c r="G31" i="2"/>
  <c r="H30" i="2"/>
  <c r="G30" i="2"/>
  <c r="C64" i="2"/>
  <c r="B64" i="2"/>
  <c r="C63" i="2"/>
  <c r="B63" i="2"/>
  <c r="C61" i="2"/>
  <c r="B61" i="2"/>
  <c r="C60" i="2"/>
  <c r="B60" i="2"/>
  <c r="C58" i="2"/>
  <c r="B58" i="2"/>
  <c r="D57" i="2"/>
  <c r="D58" i="2"/>
  <c r="D59" i="2"/>
  <c r="D60" i="2"/>
  <c r="D61" i="2"/>
  <c r="D63" i="2"/>
  <c r="D64" i="2"/>
  <c r="D56" i="2"/>
  <c r="B56" i="2"/>
  <c r="B38" i="2"/>
  <c r="B20" i="2"/>
  <c r="C20" i="2"/>
  <c r="C48" i="2"/>
  <c r="C45" i="2"/>
  <c r="D44" i="2"/>
  <c r="C42" i="2"/>
  <c r="B44" i="2"/>
  <c r="B47" i="2"/>
  <c r="B42" i="2"/>
  <c r="B43" i="2"/>
  <c r="B41" i="2"/>
  <c r="C40" i="2"/>
  <c r="D39" i="2"/>
  <c r="D29" i="2"/>
  <c r="D26" i="2"/>
  <c r="C26" i="2"/>
  <c r="B26" i="2"/>
  <c r="C8" i="2"/>
  <c r="D25" i="2"/>
  <c r="D23" i="2"/>
  <c r="D21" i="2"/>
  <c r="D24" i="2"/>
  <c r="B25" i="2"/>
  <c r="D14" i="2"/>
  <c r="C11" i="2"/>
  <c r="B14" i="2"/>
  <c r="C14" i="2"/>
  <c r="C10" i="2"/>
  <c r="B10" i="2"/>
  <c r="D9" i="2"/>
  <c r="C9" i="2"/>
  <c r="B9" i="2"/>
  <c r="B8" i="2"/>
  <c r="C7" i="2"/>
  <c r="C6" i="2"/>
  <c r="C4" i="2"/>
  <c r="C12" i="2"/>
  <c r="C3" i="2"/>
  <c r="C5" i="2" s="1"/>
  <c r="K3" i="1"/>
  <c r="B5" i="2"/>
  <c r="D82" i="1"/>
  <c r="D68" i="1"/>
  <c r="D53" i="1"/>
  <c r="C42" i="1"/>
  <c r="B42" i="1"/>
  <c r="C41" i="1"/>
  <c r="C40" i="1"/>
  <c r="K35" i="1"/>
  <c r="N33" i="1"/>
  <c r="P33" i="1" s="1"/>
  <c r="M33" i="1"/>
  <c r="L33" i="1"/>
  <c r="H33" i="1"/>
  <c r="L32" i="1"/>
  <c r="L35" i="1" s="1"/>
  <c r="H32" i="1"/>
  <c r="H35" i="1" s="1"/>
  <c r="G32" i="1"/>
  <c r="O31" i="1"/>
  <c r="N31" i="1"/>
  <c r="M31" i="1"/>
  <c r="L31" i="1"/>
  <c r="H31" i="1"/>
  <c r="G31" i="1"/>
  <c r="K25" i="1"/>
  <c r="B41" i="1" s="1"/>
  <c r="H25" i="1"/>
  <c r="L23" i="1"/>
  <c r="H23" i="1"/>
  <c r="G23" i="1"/>
  <c r="L22" i="1"/>
  <c r="N22" i="1" s="1"/>
  <c r="H22" i="1"/>
  <c r="G22" i="1" s="1"/>
  <c r="G25" i="1" s="1"/>
  <c r="O21" i="1"/>
  <c r="N21" i="1"/>
  <c r="L21" i="1"/>
  <c r="M21" i="1" s="1"/>
  <c r="P21" i="1" s="1"/>
  <c r="H21" i="1"/>
  <c r="I21" i="1" s="1"/>
  <c r="G21" i="1"/>
  <c r="L15" i="1"/>
  <c r="K15" i="1"/>
  <c r="B40" i="1" s="1"/>
  <c r="N13" i="1"/>
  <c r="L13" i="1"/>
  <c r="M13" i="1" s="1"/>
  <c r="H13" i="1"/>
  <c r="G13" i="1"/>
  <c r="N12" i="1"/>
  <c r="I12" i="1" s="1"/>
  <c r="M12" i="1"/>
  <c r="L12" i="1"/>
  <c r="H12" i="1"/>
  <c r="G12" i="1"/>
  <c r="O11" i="1"/>
  <c r="N11" i="1"/>
  <c r="L11" i="1"/>
  <c r="M11" i="1" s="1"/>
  <c r="H11" i="1"/>
  <c r="H15" i="1" s="1"/>
  <c r="G11" i="1"/>
  <c r="H6" i="1"/>
  <c r="I6" i="1" s="1"/>
  <c r="G6" i="1"/>
  <c r="I5" i="1"/>
  <c r="H5" i="1"/>
  <c r="G5" i="1"/>
  <c r="H4" i="1"/>
  <c r="I4" i="1" s="1"/>
  <c r="G4" i="1"/>
  <c r="H3" i="1"/>
  <c r="I3" i="1" s="1"/>
  <c r="G3" i="1"/>
  <c r="H2" i="1"/>
  <c r="I2" i="1" s="1"/>
  <c r="G2" i="1"/>
  <c r="C46" i="2" l="1"/>
  <c r="D20" i="2"/>
  <c r="C22" i="2"/>
  <c r="B22" i="2"/>
  <c r="B30" i="2" s="1"/>
  <c r="C49" i="2"/>
  <c r="C30" i="2"/>
  <c r="B11" i="2"/>
  <c r="B13" i="2"/>
  <c r="P11" i="1"/>
  <c r="P31" i="1"/>
  <c r="G42" i="1"/>
  <c r="G15" i="1"/>
  <c r="P13" i="1"/>
  <c r="I13" i="1"/>
  <c r="M23" i="1"/>
  <c r="N23" i="1"/>
  <c r="I33" i="1"/>
  <c r="G33" i="1"/>
  <c r="G35" i="1" s="1"/>
  <c r="G52" i="1"/>
  <c r="G40" i="1"/>
  <c r="G67" i="1"/>
  <c r="I22" i="1"/>
  <c r="I11" i="1"/>
  <c r="P12" i="1"/>
  <c r="M22" i="1"/>
  <c r="G41" i="1" s="1"/>
  <c r="L25" i="1"/>
  <c r="G81" i="1"/>
  <c r="M32" i="1"/>
  <c r="N32" i="1"/>
  <c r="I31" i="1"/>
  <c r="B27" i="2" l="1"/>
  <c r="B40" i="2"/>
  <c r="D38" i="2"/>
  <c r="D22" i="2"/>
  <c r="C27" i="2"/>
  <c r="C28" i="2" s="1"/>
  <c r="C31" i="2" s="1"/>
  <c r="B49" i="2" s="1"/>
  <c r="D49" i="2" s="1"/>
  <c r="D30" i="2"/>
  <c r="B28" i="2"/>
  <c r="D27" i="2"/>
  <c r="C13" i="2"/>
  <c r="H41" i="1"/>
  <c r="G69" i="1"/>
  <c r="G72" i="1"/>
  <c r="I40" i="1"/>
  <c r="E40" i="1" s="1"/>
  <c r="J40" i="1"/>
  <c r="P23" i="1"/>
  <c r="I23" i="1"/>
  <c r="P32" i="1"/>
  <c r="I32" i="1"/>
  <c r="I42" i="1" s="1"/>
  <c r="H40" i="1"/>
  <c r="G57" i="1"/>
  <c r="G54" i="1"/>
  <c r="P22" i="1"/>
  <c r="G86" i="1"/>
  <c r="H42" i="1"/>
  <c r="G83" i="1"/>
  <c r="H67" i="1"/>
  <c r="I67" i="1"/>
  <c r="C67" i="1"/>
  <c r="K67" i="1" s="1"/>
  <c r="B67" i="1"/>
  <c r="C52" i="1"/>
  <c r="K52" i="1" s="1"/>
  <c r="B52" i="1"/>
  <c r="H52" i="1"/>
  <c r="I52" i="1" s="1"/>
  <c r="C81" i="1"/>
  <c r="K81" i="1" s="1"/>
  <c r="H81" i="1"/>
  <c r="I81" i="1" s="1"/>
  <c r="B48" i="2" l="1"/>
  <c r="D48" i="2" s="1"/>
  <c r="B45" i="2"/>
  <c r="D40" i="2"/>
  <c r="B31" i="2"/>
  <c r="D31" i="2" s="1"/>
  <c r="D28" i="2"/>
  <c r="E42" i="1"/>
  <c r="J42" i="1"/>
  <c r="G55" i="1"/>
  <c r="D40" i="1"/>
  <c r="F40" i="1"/>
  <c r="D67" i="1"/>
  <c r="K68" i="1"/>
  <c r="B81" i="1"/>
  <c r="I41" i="1"/>
  <c r="E41" i="1" s="1"/>
  <c r="C83" i="1"/>
  <c r="B83" i="1"/>
  <c r="C86" i="1"/>
  <c r="B86" i="1"/>
  <c r="D86" i="1" s="1"/>
  <c r="C57" i="1"/>
  <c r="B57" i="1"/>
  <c r="D57" i="1" s="1"/>
  <c r="C72" i="1"/>
  <c r="B72" i="1"/>
  <c r="D72" i="1" s="1"/>
  <c r="C54" i="1"/>
  <c r="C69" i="1"/>
  <c r="B69" i="1"/>
  <c r="D52" i="1"/>
  <c r="K53" i="1"/>
  <c r="B46" i="2" l="1"/>
  <c r="D45" i="2"/>
  <c r="D83" i="1"/>
  <c r="G70" i="1"/>
  <c r="D41" i="1"/>
  <c r="F41" i="1"/>
  <c r="C56" i="1"/>
  <c r="D47" i="1" s="1"/>
  <c r="D69" i="1"/>
  <c r="J41" i="1"/>
  <c r="K82" i="1"/>
  <c r="D81" i="1"/>
  <c r="B54" i="1"/>
  <c r="C55" i="1"/>
  <c r="G84" i="1"/>
  <c r="D42" i="1"/>
  <c r="F42" i="1"/>
  <c r="C58" i="1" l="1"/>
  <c r="G58" i="1" s="1"/>
  <c r="L52" i="1"/>
  <c r="C70" i="1"/>
  <c r="B70" i="1"/>
  <c r="C84" i="1"/>
  <c r="B55" i="1"/>
  <c r="D54" i="1"/>
  <c r="B56" i="1"/>
  <c r="D56" i="1" s="1"/>
  <c r="B58" i="1" l="1"/>
  <c r="D55" i="1"/>
  <c r="L53" i="1"/>
  <c r="C87" i="1"/>
  <c r="G87" i="1" s="1"/>
  <c r="L81" i="1"/>
  <c r="C85" i="1"/>
  <c r="B84" i="1"/>
  <c r="D70" i="1"/>
  <c r="B73" i="1"/>
  <c r="L68" i="1"/>
  <c r="B71" i="1"/>
  <c r="D71" i="1" s="1"/>
  <c r="C73" i="1"/>
  <c r="G73" i="1" s="1"/>
  <c r="L67" i="1"/>
  <c r="C71" i="1"/>
  <c r="H73" i="1" l="1"/>
  <c r="D73" i="1"/>
  <c r="B87" i="1"/>
  <c r="L82" i="1"/>
  <c r="D84" i="1"/>
  <c r="B85" i="1"/>
  <c r="D85" i="1" s="1"/>
  <c r="H58" i="1"/>
  <c r="D58" i="1"/>
  <c r="H87" i="1" l="1"/>
  <c r="D87" i="1"/>
</calcChain>
</file>

<file path=xl/sharedStrings.xml><?xml version="1.0" encoding="utf-8"?>
<sst xmlns="http://schemas.openxmlformats.org/spreadsheetml/2006/main" count="187" uniqueCount="73">
  <si>
    <t>商户名称</t>
  </si>
  <si>
    <t>ACP</t>
  </si>
  <si>
    <t>CTR</t>
  </si>
  <si>
    <t>CVR</t>
  </si>
  <si>
    <t>预约成本</t>
  </si>
  <si>
    <t>线索成本</t>
  </si>
  <si>
    <t>点击uv</t>
  </si>
  <si>
    <t>A</t>
  </si>
  <si>
    <t>B</t>
  </si>
  <si>
    <t>C</t>
  </si>
  <si>
    <t>D</t>
  </si>
  <si>
    <t>E</t>
  </si>
  <si>
    <t>教育行业</t>
  </si>
  <si>
    <t>ctr</t>
  </si>
  <si>
    <t>cvr</t>
  </si>
  <si>
    <t>广告单占比</t>
  </si>
  <si>
    <t>出价</t>
  </si>
  <si>
    <t>ROI</t>
  </si>
  <si>
    <t>留咨量</t>
  </si>
  <si>
    <t>广告留咨量</t>
  </si>
  <si>
    <t>留咨成本</t>
  </si>
  <si>
    <t>曝光uv</t>
  </si>
  <si>
    <t>订单量</t>
  </si>
  <si>
    <t>消耗</t>
  </si>
  <si>
    <t>客单价</t>
  </si>
  <si>
    <t>CPM</t>
  </si>
  <si>
    <t>CPC</t>
  </si>
  <si>
    <t>CPM&amp;CPC</t>
  </si>
  <si>
    <t>医美行业</t>
  </si>
  <si>
    <t>婚纱摄影</t>
  </si>
  <si>
    <t>预估数据</t>
  </si>
  <si>
    <t>留咨量提升</t>
  </si>
  <si>
    <t>参与率：78%</t>
  </si>
  <si>
    <t>A组</t>
  </si>
  <si>
    <t>B组</t>
  </si>
  <si>
    <t>增长率</t>
  </si>
  <si>
    <t>点击</t>
  </si>
  <si>
    <t>广告单</t>
  </si>
  <si>
    <t>线索量</t>
  </si>
  <si>
    <t>参与率：82%</t>
  </si>
  <si>
    <t>婚纱摄影行业</t>
  </si>
  <si>
    <t>参与率：89%</t>
  </si>
  <si>
    <t>一期预测</t>
    <phoneticPr fontId="5" type="noConversion"/>
  </si>
  <si>
    <t>ctr</t>
    <phoneticPr fontId="5" type="noConversion"/>
  </si>
  <si>
    <t>曝光uv</t>
    <phoneticPr fontId="5" type="noConversion"/>
  </si>
  <si>
    <t>点击uv</t>
    <phoneticPr fontId="5" type="noConversion"/>
  </si>
  <si>
    <t>预估提升</t>
    <phoneticPr fontId="5" type="noConversion"/>
  </si>
  <si>
    <t>历史</t>
    <phoneticPr fontId="5" type="noConversion"/>
  </si>
  <si>
    <t>预测</t>
    <phoneticPr fontId="5" type="noConversion"/>
  </si>
  <si>
    <t>订单量</t>
    <phoneticPr fontId="5" type="noConversion"/>
  </si>
  <si>
    <t>GMV</t>
    <phoneticPr fontId="5" type="noConversion"/>
  </si>
  <si>
    <t>ACP</t>
    <phoneticPr fontId="5" type="noConversion"/>
  </si>
  <si>
    <t>广告消耗</t>
    <phoneticPr fontId="5" type="noConversion"/>
  </si>
  <si>
    <t>ROI</t>
    <phoneticPr fontId="5" type="noConversion"/>
  </si>
  <si>
    <t>咨询ctr</t>
    <phoneticPr fontId="5" type="noConversion"/>
  </si>
  <si>
    <t>留咨cvr</t>
    <phoneticPr fontId="5" type="noConversion"/>
  </si>
  <si>
    <t>留咨下单cvr</t>
    <phoneticPr fontId="5" type="noConversion"/>
  </si>
  <si>
    <t>整体cvr</t>
    <phoneticPr fontId="5" type="noConversion"/>
  </si>
  <si>
    <t>一期结果</t>
    <phoneticPr fontId="5" type="noConversion"/>
  </si>
  <si>
    <t>A组</t>
    <phoneticPr fontId="5" type="noConversion"/>
  </si>
  <si>
    <t>B组</t>
    <phoneticPr fontId="5" type="noConversion"/>
  </si>
  <si>
    <t>一期</t>
    <phoneticPr fontId="5" type="noConversion"/>
  </si>
  <si>
    <t>提升</t>
    <phoneticPr fontId="5" type="noConversion"/>
  </si>
  <si>
    <t>两部组成</t>
    <phoneticPr fontId="5" type="noConversion"/>
  </si>
  <si>
    <t>新增商户带来的</t>
    <phoneticPr fontId="5" type="noConversion"/>
  </si>
  <si>
    <t>二期预测</t>
    <phoneticPr fontId="5" type="noConversion"/>
  </si>
  <si>
    <t>历史数据</t>
    <phoneticPr fontId="5" type="noConversion"/>
  </si>
  <si>
    <t>模拟数据</t>
    <phoneticPr fontId="5" type="noConversion"/>
  </si>
  <si>
    <t>预估增长</t>
    <phoneticPr fontId="5" type="noConversion"/>
  </si>
  <si>
    <t>先计算pcvr模型结果，这个数据平均可以作为cvr，pcvr代入ecpm中，可以使ecpm增长，模拟后可以预估排序增长-曝光增长</t>
    <phoneticPr fontId="5" type="noConversion"/>
  </si>
  <si>
    <t>二期结果</t>
    <phoneticPr fontId="5" type="noConversion"/>
  </si>
  <si>
    <t>增长</t>
    <phoneticPr fontId="5" type="noConversion"/>
  </si>
  <si>
    <t>留咨成本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</si>
</sst>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80" formatCode="0_ "/>
    <numFmt numFmtId="181" formatCode="#,##0.00_ "/>
    <numFmt numFmtId="182" formatCode="0.00_ "/>
    <numFmt numFmtId="183" formatCode="#,##0.0_ "/>
    <numFmt numFmtId="184" formatCode="0.0_ "/>
  </numFmts>
  <fonts count="6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4" fillId="0" borderId="0" applyFon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10" fontId="0" fillId="0" borderId="0" xfId="0" applyNumberFormat="1">
      <alignment vertical="center"/>
    </xf>
    <xf numFmtId="0" fontId="1" fillId="0" borderId="3" xfId="0" applyFont="1" applyBorder="1">
      <alignment vertical="center"/>
    </xf>
    <xf numFmtId="0" fontId="0" fillId="0" borderId="3" xfId="0" applyBorder="1">
      <alignment vertical="center"/>
    </xf>
    <xf numFmtId="10" fontId="0" fillId="0" borderId="3" xfId="0" applyNumberFormat="1" applyBorder="1">
      <alignment vertical="center"/>
    </xf>
    <xf numFmtId="180" fontId="0" fillId="0" borderId="3" xfId="0" applyNumberFormat="1" applyBorder="1">
      <alignment vertical="center"/>
    </xf>
    <xf numFmtId="10" fontId="0" fillId="0" borderId="3" xfId="1" applyNumberFormat="1" applyBorder="1">
      <alignment vertical="center"/>
    </xf>
    <xf numFmtId="181" fontId="0" fillId="0" borderId="3" xfId="0" applyNumberFormat="1" applyBorder="1">
      <alignment vertical="center"/>
    </xf>
    <xf numFmtId="182" fontId="0" fillId="0" borderId="3" xfId="0" applyNumberFormat="1" applyBorder="1">
      <alignment vertical="center"/>
    </xf>
    <xf numFmtId="180" fontId="0" fillId="0" borderId="0" xfId="0" applyNumberFormat="1">
      <alignment vertical="center"/>
    </xf>
    <xf numFmtId="9" fontId="0" fillId="0" borderId="0" xfId="1">
      <alignment vertical="center"/>
    </xf>
    <xf numFmtId="183" fontId="0" fillId="0" borderId="3" xfId="0" applyNumberFormat="1" applyBorder="1">
      <alignment vertical="center"/>
    </xf>
    <xf numFmtId="184" fontId="0" fillId="0" borderId="0" xfId="0" applyNumberFormat="1">
      <alignment vertical="center"/>
    </xf>
    <xf numFmtId="10" fontId="0" fillId="0" borderId="0" xfId="1" applyNumberFormat="1">
      <alignment vertical="center"/>
    </xf>
    <xf numFmtId="181" fontId="0" fillId="0" borderId="0" xfId="1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3" fillId="0" borderId="0" xfId="0" applyFont="1">
      <alignment vertical="center"/>
    </xf>
    <xf numFmtId="1" fontId="0" fillId="0" borderId="0" xfId="0" applyNumberFormat="1">
      <alignment vertical="center"/>
    </xf>
    <xf numFmtId="10" fontId="0" fillId="0" borderId="0" xfId="1" applyNumberFormat="1" applyFont="1">
      <alignment vertical="center"/>
    </xf>
    <xf numFmtId="0" fontId="3" fillId="0" borderId="3" xfId="0" applyFont="1" applyBorder="1">
      <alignment vertical="center"/>
    </xf>
    <xf numFmtId="1" fontId="0" fillId="0" borderId="3" xfId="0" applyNumberFormat="1" applyBorder="1">
      <alignment vertical="center"/>
    </xf>
    <xf numFmtId="9" fontId="0" fillId="0" borderId="3" xfId="0" applyNumberFormat="1" applyBorder="1">
      <alignment vertical="center"/>
    </xf>
    <xf numFmtId="10" fontId="0" fillId="0" borderId="3" xfId="1" applyNumberFormat="1" applyFont="1" applyBorder="1">
      <alignment vertical="center"/>
    </xf>
    <xf numFmtId="9" fontId="3" fillId="0" borderId="3" xfId="0" applyNumberFormat="1" applyFont="1" applyBorder="1">
      <alignment vertical="center"/>
    </xf>
    <xf numFmtId="10" fontId="2" fillId="0" borderId="3" xfId="1" applyNumberFormat="1" applyFont="1" applyBorder="1">
      <alignment vertical="center"/>
    </xf>
    <xf numFmtId="2" fontId="0" fillId="0" borderId="3" xfId="0" applyNumberFormat="1" applyBorder="1">
      <alignment vertical="center"/>
    </xf>
    <xf numFmtId="10" fontId="3" fillId="0" borderId="3" xfId="0" applyNumberFormat="1" applyFont="1" applyBorder="1">
      <alignment vertical="center"/>
    </xf>
  </cellXfs>
  <cellStyles count="2">
    <cellStyle name="百分比" xfId="1" builtinId="5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7"/>
  <sheetViews>
    <sheetView zoomScale="122" zoomScaleNormal="122" workbookViewId="0">
      <selection activeCell="K4" sqref="K4"/>
    </sheetView>
  </sheetViews>
  <sheetFormatPr baseColWidth="10" defaultColWidth="9.1640625" defaultRowHeight="14"/>
  <cols>
    <col min="1" max="2" width="11.83203125" customWidth="1"/>
    <col min="3" max="3" width="10.1640625" customWidth="1"/>
    <col min="4" max="4" width="12.83203125" customWidth="1"/>
    <col min="5" max="5" width="12.6640625" customWidth="1"/>
    <col min="6" max="6" width="10.6640625" customWidth="1"/>
    <col min="7" max="7" width="10.83203125" customWidth="1"/>
    <col min="8" max="8" width="13" customWidth="1"/>
    <col min="9" max="9" width="11" customWidth="1"/>
    <col min="10" max="11" width="13"/>
    <col min="12" max="12" width="16.6640625"/>
    <col min="13" max="13" width="12" customWidth="1"/>
    <col min="14" max="16" width="13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6">
      <c r="A2" t="s">
        <v>7</v>
      </c>
      <c r="B2">
        <v>1.7</v>
      </c>
      <c r="C2" s="1">
        <v>4.3E-3</v>
      </c>
      <c r="D2" s="1">
        <v>4.8999999999999998E-3</v>
      </c>
      <c r="E2">
        <v>346</v>
      </c>
      <c r="F2">
        <v>346</v>
      </c>
      <c r="G2">
        <f>F2/(D2*C2*B2)</f>
        <v>9659677.8246182203</v>
      </c>
      <c r="H2">
        <f>F2/E2-1</f>
        <v>0</v>
      </c>
      <c r="I2">
        <f>$C$11*(1+H2)</f>
        <v>3.7999999999999999E-2</v>
      </c>
    </row>
    <row r="3" spans="1:16">
      <c r="A3" t="s">
        <v>8</v>
      </c>
      <c r="B3">
        <v>0.8</v>
      </c>
      <c r="C3" s="1">
        <v>3.3300000000000003E-2</v>
      </c>
      <c r="D3" s="1">
        <v>1.8E-3</v>
      </c>
      <c r="E3">
        <v>275</v>
      </c>
      <c r="F3">
        <v>478</v>
      </c>
      <c r="G3">
        <f>F3/(D3*C3*B3)</f>
        <v>9968301.6349683013</v>
      </c>
      <c r="H3">
        <f>F3/E3-1</f>
        <v>0.73818181818181827</v>
      </c>
      <c r="I3">
        <f>$C$11*(1+H3)</f>
        <v>6.6050909090909091E-2</v>
      </c>
      <c r="K3">
        <f>D3*P21/B3</f>
        <v>1.5507352941176471</v>
      </c>
    </row>
    <row r="4" spans="1:16">
      <c r="A4" t="s">
        <v>9</v>
      </c>
      <c r="B4">
        <v>1.9</v>
      </c>
      <c r="C4" s="1">
        <v>6.7000000000000002E-3</v>
      </c>
      <c r="D4" s="1">
        <v>1.29E-2</v>
      </c>
      <c r="E4">
        <v>110</v>
      </c>
      <c r="F4">
        <v>148</v>
      </c>
      <c r="G4">
        <f>F4/(D4*C4*B4)</f>
        <v>901246.52137111279</v>
      </c>
      <c r="H4">
        <f>F4/E4-1</f>
        <v>0.34545454545454546</v>
      </c>
      <c r="I4">
        <f>$C$11*(1+H4)</f>
        <v>5.112727272727273E-2</v>
      </c>
    </row>
    <row r="5" spans="1:16">
      <c r="A5" t="s">
        <v>10</v>
      </c>
      <c r="B5">
        <v>2.2000000000000002</v>
      </c>
      <c r="C5" s="1">
        <v>1.09E-2</v>
      </c>
      <c r="D5" s="1">
        <v>8.0000000000000002E-3</v>
      </c>
      <c r="E5">
        <v>214</v>
      </c>
      <c r="F5">
        <v>270</v>
      </c>
      <c r="G5">
        <f>F5/(D5*C5*B5)</f>
        <v>1407422.8523769805</v>
      </c>
      <c r="H5">
        <f>F5/E5-1</f>
        <v>0.26168224299065423</v>
      </c>
      <c r="I5">
        <f>$C$11*(1+H5)</f>
        <v>4.7943925233644859E-2</v>
      </c>
    </row>
    <row r="6" spans="1:16">
      <c r="A6" t="s">
        <v>11</v>
      </c>
      <c r="B6">
        <v>1.2</v>
      </c>
      <c r="C6" s="1">
        <v>5.0000000000000001E-3</v>
      </c>
      <c r="D6" s="1">
        <v>7.0000000000000001E-3</v>
      </c>
      <c r="E6">
        <v>106</v>
      </c>
      <c r="F6">
        <v>170</v>
      </c>
      <c r="G6">
        <f>F6/(D6*C6*B6)</f>
        <v>4047619.0476190471</v>
      </c>
      <c r="H6">
        <f>F6/E6-1</f>
        <v>0.60377358490566047</v>
      </c>
      <c r="I6">
        <f>$C$11*(1+H6)</f>
        <v>6.0943396226415099E-2</v>
      </c>
    </row>
    <row r="9" spans="1:16">
      <c r="A9" s="15" t="s">
        <v>12</v>
      </c>
      <c r="B9" s="16"/>
      <c r="C9" s="16"/>
      <c r="D9" s="16"/>
      <c r="E9" s="16"/>
      <c r="F9" s="16"/>
      <c r="G9" s="16"/>
      <c r="H9" s="16"/>
      <c r="I9" s="17"/>
    </row>
    <row r="10" spans="1:16">
      <c r="A10" s="2"/>
      <c r="B10" s="2" t="s">
        <v>13</v>
      </c>
      <c r="C10" s="2" t="s">
        <v>14</v>
      </c>
      <c r="D10" s="2" t="s">
        <v>15</v>
      </c>
      <c r="E10" s="2" t="s">
        <v>16</v>
      </c>
      <c r="F10" s="2" t="s">
        <v>17</v>
      </c>
      <c r="G10" s="2" t="s">
        <v>18</v>
      </c>
      <c r="H10" s="2" t="s">
        <v>19</v>
      </c>
      <c r="I10" s="2" t="s">
        <v>20</v>
      </c>
      <c r="K10" t="s">
        <v>21</v>
      </c>
      <c r="L10" t="s">
        <v>6</v>
      </c>
      <c r="M10" t="s">
        <v>22</v>
      </c>
      <c r="N10" t="s">
        <v>23</v>
      </c>
      <c r="O10" t="s">
        <v>1</v>
      </c>
      <c r="P10" t="s">
        <v>24</v>
      </c>
    </row>
    <row r="11" spans="1:16">
      <c r="A11" s="3" t="s">
        <v>25</v>
      </c>
      <c r="B11" s="4">
        <v>3.9E-2</v>
      </c>
      <c r="C11" s="4">
        <v>3.7999999999999999E-2</v>
      </c>
      <c r="D11" s="4">
        <v>0.23880000000000001</v>
      </c>
      <c r="E11" s="3">
        <v>78</v>
      </c>
      <c r="F11" s="3">
        <v>5.2</v>
      </c>
      <c r="G11" s="5">
        <f>((H11/D11)-H11)</f>
        <v>123623.77897992163</v>
      </c>
      <c r="H11" s="5">
        <f>K11*B11*(1+10%)*C11</f>
        <v>38782.656884400007</v>
      </c>
      <c r="I11" s="5">
        <f>N11/H11</f>
        <v>47.846889952153106</v>
      </c>
      <c r="K11">
        <v>23790122</v>
      </c>
      <c r="L11" s="9">
        <f t="shared" ref="L11:M13" si="0">K11*B11</f>
        <v>927814.75800000003</v>
      </c>
      <c r="M11" s="9">
        <f t="shared" si="0"/>
        <v>35256.960804000002</v>
      </c>
      <c r="N11" s="9">
        <f>K11*E11/1000</f>
        <v>1855629.5160000001</v>
      </c>
      <c r="O11">
        <f>E11/(1000*B11)</f>
        <v>2</v>
      </c>
      <c r="P11">
        <f>F11*N11/M11</f>
        <v>273.68421052631578</v>
      </c>
    </row>
    <row r="12" spans="1:16">
      <c r="A12" s="3" t="s">
        <v>26</v>
      </c>
      <c r="B12" s="4">
        <v>4.1300000000000003E-2</v>
      </c>
      <c r="C12" s="4">
        <v>4.2900000000000001E-2</v>
      </c>
      <c r="D12" s="4">
        <v>0.32119999999999999</v>
      </c>
      <c r="E12" s="3">
        <v>2.2000000000000002</v>
      </c>
      <c r="F12" s="3">
        <v>5.7</v>
      </c>
      <c r="G12" s="5">
        <f>((H12/D12)-H12)</f>
        <v>100958.26647180249</v>
      </c>
      <c r="H12" s="5">
        <f>K12*B12*(1+10%)*C12</f>
        <v>47772.238053540008</v>
      </c>
      <c r="I12" s="5">
        <f>N12/H12</f>
        <v>46.620046620046622</v>
      </c>
      <c r="K12">
        <v>24511820</v>
      </c>
      <c r="L12" s="9">
        <f t="shared" si="0"/>
        <v>1012338.1660000001</v>
      </c>
      <c r="M12" s="9">
        <f t="shared" si="0"/>
        <v>43429.307321400003</v>
      </c>
      <c r="N12" s="9">
        <f>L12*E12</f>
        <v>2227143.9652000004</v>
      </c>
      <c r="O12">
        <v>2.2000000000000002</v>
      </c>
      <c r="P12">
        <f>F12*N12/M12</f>
        <v>292.30769230769238</v>
      </c>
    </row>
    <row r="13" spans="1:16">
      <c r="A13" s="3" t="s">
        <v>27</v>
      </c>
      <c r="B13" s="4">
        <v>4.0099999999999997E-2</v>
      </c>
      <c r="C13" s="4">
        <v>4.1799999999999997E-2</v>
      </c>
      <c r="D13" s="4">
        <v>0.25140000000000001</v>
      </c>
      <c r="E13" s="3">
        <v>2.1</v>
      </c>
      <c r="F13" s="3">
        <v>5.6</v>
      </c>
      <c r="G13" s="5">
        <f>((H13/D13)-H13)</f>
        <v>132919.68029073364</v>
      </c>
      <c r="H13" s="5">
        <f>K13*B13*(1+10%)*C13</f>
        <v>44638.001102177994</v>
      </c>
      <c r="I13" s="5">
        <f>N13/H13</f>
        <v>45.67203131796434</v>
      </c>
      <c r="K13">
        <v>24209811</v>
      </c>
      <c r="L13" s="9">
        <f t="shared" si="0"/>
        <v>970813.42109999992</v>
      </c>
      <c r="M13" s="9">
        <f t="shared" si="0"/>
        <v>40580.001001979996</v>
      </c>
      <c r="N13" s="9">
        <f>L13*E13</f>
        <v>2038708.1843099999</v>
      </c>
      <c r="O13">
        <v>2.1</v>
      </c>
      <c r="P13">
        <f>F13*N13/M13</f>
        <v>281.33971291866033</v>
      </c>
    </row>
    <row r="15" spans="1:16">
      <c r="G15" s="9">
        <f t="shared" ref="G15:L15" si="1">(G11+G12+G13)/(300*7)</f>
        <v>170.238917020218</v>
      </c>
      <c r="H15" s="9">
        <f t="shared" si="1"/>
        <v>62.47280763815143</v>
      </c>
      <c r="K15" s="9">
        <f t="shared" si="1"/>
        <v>34529.406190476191</v>
      </c>
      <c r="L15" s="9">
        <f t="shared" si="1"/>
        <v>1386.1744500476191</v>
      </c>
    </row>
    <row r="16" spans="1:16">
      <c r="G16" s="10"/>
    </row>
    <row r="19" spans="1:16">
      <c r="A19" s="15" t="s">
        <v>28</v>
      </c>
      <c r="B19" s="16"/>
      <c r="C19" s="16"/>
      <c r="D19" s="16"/>
      <c r="E19" s="16"/>
      <c r="F19" s="16"/>
      <c r="G19" s="16"/>
      <c r="H19" s="16"/>
      <c r="I19" s="17"/>
    </row>
    <row r="20" spans="1:16">
      <c r="A20" s="2"/>
      <c r="B20" s="2" t="s">
        <v>13</v>
      </c>
      <c r="C20" s="2" t="s">
        <v>14</v>
      </c>
      <c r="D20" s="2" t="s">
        <v>15</v>
      </c>
      <c r="E20" s="2" t="s">
        <v>16</v>
      </c>
      <c r="F20" s="2" t="s">
        <v>17</v>
      </c>
      <c r="G20" s="2" t="s">
        <v>18</v>
      </c>
      <c r="H20" s="2" t="s">
        <v>19</v>
      </c>
      <c r="I20" s="2" t="s">
        <v>20</v>
      </c>
      <c r="K20" t="s">
        <v>21</v>
      </c>
      <c r="L20" t="s">
        <v>6</v>
      </c>
      <c r="M20" t="s">
        <v>22</v>
      </c>
      <c r="N20" t="s">
        <v>23</v>
      </c>
      <c r="O20" t="s">
        <v>1</v>
      </c>
      <c r="P20" t="s">
        <v>24</v>
      </c>
    </row>
    <row r="21" spans="1:16">
      <c r="A21" s="3" t="s">
        <v>25</v>
      </c>
      <c r="B21" s="4">
        <v>1.7000000000000001E-2</v>
      </c>
      <c r="C21" s="4">
        <v>1.7999999999999999E-2</v>
      </c>
      <c r="D21" s="4">
        <v>0.18099999999999999</v>
      </c>
      <c r="E21" s="3">
        <v>57</v>
      </c>
      <c r="F21" s="3">
        <v>3.7</v>
      </c>
      <c r="G21" s="5">
        <f t="shared" ref="G21:G23" si="2">((H21/D21)-H21)</f>
        <v>43771.101846295031</v>
      </c>
      <c r="H21" s="5">
        <f t="shared" ref="H21:H23" si="3">K21*B21*(1+10%)*C21</f>
        <v>9673.4669525999998</v>
      </c>
      <c r="I21" s="5">
        <f t="shared" ref="I21:I23" si="4">N21/H21</f>
        <v>169.34046345811052</v>
      </c>
      <c r="K21">
        <v>28738761</v>
      </c>
      <c r="L21" s="9">
        <f t="shared" ref="L21:L23" si="5">K21*B21</f>
        <v>488558.93700000003</v>
      </c>
      <c r="M21" s="9">
        <f t="shared" ref="M21:M23" si="6">L21*C21</f>
        <v>8794.0608659999998</v>
      </c>
      <c r="N21" s="9">
        <f>K21*E21/1000</f>
        <v>1638109.3770000001</v>
      </c>
      <c r="O21">
        <f>E21/(1000*B21)</f>
        <v>3.3529411764705883</v>
      </c>
      <c r="P21">
        <f t="shared" ref="P21:P23" si="7">F21*N21/M21</f>
        <v>689.21568627450984</v>
      </c>
    </row>
    <row r="22" spans="1:16">
      <c r="A22" s="3" t="s">
        <v>26</v>
      </c>
      <c r="B22" s="4">
        <v>1.9E-2</v>
      </c>
      <c r="C22" s="4">
        <v>2.29E-2</v>
      </c>
      <c r="D22" s="4">
        <v>0.39979999999999999</v>
      </c>
      <c r="E22" s="3">
        <v>3.5</v>
      </c>
      <c r="F22" s="3">
        <v>3.8</v>
      </c>
      <c r="G22" s="5">
        <f t="shared" si="2"/>
        <v>21692.127050989511</v>
      </c>
      <c r="H22" s="5">
        <f t="shared" si="3"/>
        <v>14449.370868020002</v>
      </c>
      <c r="I22" s="5">
        <f t="shared" si="4"/>
        <v>138.94402540690749</v>
      </c>
      <c r="K22">
        <v>30190282</v>
      </c>
      <c r="L22" s="9">
        <f t="shared" si="5"/>
        <v>573615.35800000001</v>
      </c>
      <c r="M22" s="9">
        <f t="shared" si="6"/>
        <v>13135.791698200001</v>
      </c>
      <c r="N22" s="9">
        <f>L22*E22</f>
        <v>2007653.753</v>
      </c>
      <c r="O22">
        <v>3.5</v>
      </c>
      <c r="P22">
        <f t="shared" si="7"/>
        <v>580.78602620087338</v>
      </c>
    </row>
    <row r="23" spans="1:16">
      <c r="A23" s="3" t="s">
        <v>27</v>
      </c>
      <c r="B23" s="4">
        <v>1.8800000000000001E-2</v>
      </c>
      <c r="C23" s="4">
        <v>2.18E-2</v>
      </c>
      <c r="D23" s="4">
        <v>0.30649999999999999</v>
      </c>
      <c r="E23" s="3">
        <v>3.5</v>
      </c>
      <c r="F23" s="3">
        <v>3.8</v>
      </c>
      <c r="G23" s="5">
        <f t="shared" si="2"/>
        <v>40785.564043740094</v>
      </c>
      <c r="H23" s="5">
        <f t="shared" si="3"/>
        <v>18025.631405056003</v>
      </c>
      <c r="I23" s="5">
        <f t="shared" si="4"/>
        <v>145.95496246872392</v>
      </c>
      <c r="K23">
        <v>39983744</v>
      </c>
      <c r="L23" s="9">
        <f t="shared" si="5"/>
        <v>751694.3872</v>
      </c>
      <c r="M23" s="9">
        <f t="shared" si="6"/>
        <v>16386.937640960001</v>
      </c>
      <c r="N23" s="9">
        <f>L23*E23</f>
        <v>2630930.3552000001</v>
      </c>
      <c r="O23">
        <v>3.5</v>
      </c>
      <c r="P23">
        <f t="shared" si="7"/>
        <v>610.09174311926597</v>
      </c>
    </row>
    <row r="25" spans="1:16">
      <c r="G25" s="9">
        <f t="shared" ref="G25:L25" si="8">(G21+G22+G23)/(300*7)</f>
        <v>50.594663305249831</v>
      </c>
      <c r="H25" s="9">
        <f t="shared" si="8"/>
        <v>20.070699631274287</v>
      </c>
      <c r="K25" s="9">
        <f t="shared" si="8"/>
        <v>47101.327142857146</v>
      </c>
      <c r="L25" s="9">
        <f t="shared" si="8"/>
        <v>863.74699152380947</v>
      </c>
    </row>
    <row r="26" spans="1:16">
      <c r="G26" s="10"/>
    </row>
    <row r="29" spans="1:16">
      <c r="A29" s="15" t="s">
        <v>29</v>
      </c>
      <c r="B29" s="16"/>
      <c r="C29" s="16"/>
      <c r="D29" s="16"/>
      <c r="E29" s="16"/>
      <c r="F29" s="16"/>
      <c r="G29" s="16"/>
      <c r="H29" s="16"/>
      <c r="I29" s="17"/>
    </row>
    <row r="30" spans="1:16">
      <c r="A30" s="2"/>
      <c r="B30" s="2" t="s">
        <v>13</v>
      </c>
      <c r="C30" s="2" t="s">
        <v>14</v>
      </c>
      <c r="D30" s="2" t="s">
        <v>15</v>
      </c>
      <c r="E30" s="2" t="s">
        <v>16</v>
      </c>
      <c r="F30" s="2" t="s">
        <v>17</v>
      </c>
      <c r="G30" s="2" t="s">
        <v>18</v>
      </c>
      <c r="H30" s="2" t="s">
        <v>19</v>
      </c>
      <c r="I30" s="2" t="s">
        <v>20</v>
      </c>
      <c r="K30" t="s">
        <v>21</v>
      </c>
      <c r="L30" t="s">
        <v>6</v>
      </c>
      <c r="M30" t="s">
        <v>22</v>
      </c>
      <c r="N30" t="s">
        <v>23</v>
      </c>
      <c r="O30" t="s">
        <v>1</v>
      </c>
      <c r="P30" t="s">
        <v>24</v>
      </c>
    </row>
    <row r="31" spans="1:16">
      <c r="A31" s="3" t="s">
        <v>25</v>
      </c>
      <c r="B31" s="4">
        <v>2.3E-2</v>
      </c>
      <c r="C31" s="4">
        <v>2.8299999999999999E-2</v>
      </c>
      <c r="D31" s="4">
        <v>0.22109999999999999</v>
      </c>
      <c r="E31" s="3">
        <v>66</v>
      </c>
      <c r="F31" s="3">
        <v>3.7</v>
      </c>
      <c r="G31" s="5">
        <f>((H31/D31)-H31)</f>
        <v>23653.316269900941</v>
      </c>
      <c r="H31" s="5">
        <f t="shared" ref="H31:H33" si="9">K31*B31*(1+10%)*C31</f>
        <v>6714.2742679099993</v>
      </c>
      <c r="I31" s="5">
        <f>N31/H31</f>
        <v>92.180058380703656</v>
      </c>
      <c r="K31">
        <v>9377609</v>
      </c>
      <c r="L31" s="9">
        <f t="shared" ref="L31:L33" si="10">K31*B31</f>
        <v>215685.00699999998</v>
      </c>
      <c r="M31" s="9">
        <f t="shared" ref="M31:M33" si="11">L31*C31</f>
        <v>6103.885698099999</v>
      </c>
      <c r="N31" s="9">
        <f>K31*E31/1000</f>
        <v>618922.19400000002</v>
      </c>
      <c r="O31">
        <f>E31/(1000*B31)</f>
        <v>2.8695652173913042</v>
      </c>
      <c r="P31">
        <f t="shared" ref="P31:P33" si="12">F31*N31/M31</f>
        <v>375.1728376094639</v>
      </c>
    </row>
    <row r="32" spans="1:16">
      <c r="A32" s="3" t="s">
        <v>26</v>
      </c>
      <c r="B32" s="4">
        <v>2.0899999999999998E-2</v>
      </c>
      <c r="C32" s="4">
        <v>3.0200000000000001E-2</v>
      </c>
      <c r="D32" s="4">
        <v>0.318</v>
      </c>
      <c r="E32" s="3">
        <v>3.2</v>
      </c>
      <c r="F32" s="3">
        <v>3.8</v>
      </c>
      <c r="G32" s="5">
        <f t="shared" ref="G32:G33" si="13">((H32/D32)-H32)</f>
        <v>17224.076930562125</v>
      </c>
      <c r="H32" s="5">
        <f t="shared" si="9"/>
        <v>8031.1678356580005</v>
      </c>
      <c r="I32" s="5">
        <f t="shared" ref="I32:I33" si="14">N32/H32</f>
        <v>96.327513546056593</v>
      </c>
      <c r="K32">
        <v>11567321</v>
      </c>
      <c r="L32" s="9">
        <f t="shared" si="10"/>
        <v>241757.00889999999</v>
      </c>
      <c r="M32" s="9">
        <f t="shared" si="11"/>
        <v>7301.0616687800002</v>
      </c>
      <c r="N32" s="9">
        <f>L32*E32</f>
        <v>773622.42848</v>
      </c>
      <c r="O32">
        <v>3.2</v>
      </c>
      <c r="P32">
        <f t="shared" si="12"/>
        <v>402.64900662251654</v>
      </c>
    </row>
    <row r="33" spans="1:16">
      <c r="A33" s="3" t="s">
        <v>27</v>
      </c>
      <c r="B33" s="4">
        <v>2.3199999999999998E-2</v>
      </c>
      <c r="C33" s="4">
        <v>0.03</v>
      </c>
      <c r="D33" s="4">
        <v>0.30649999999999999</v>
      </c>
      <c r="E33" s="3">
        <v>3</v>
      </c>
      <c r="F33" s="3">
        <v>3.8</v>
      </c>
      <c r="G33" s="5">
        <f t="shared" si="13"/>
        <v>19026.71296027537</v>
      </c>
      <c r="H33" s="5">
        <f t="shared" si="9"/>
        <v>8409.0663624000008</v>
      </c>
      <c r="I33" s="5">
        <f t="shared" si="14"/>
        <v>90.909090909090907</v>
      </c>
      <c r="K33">
        <v>10983629</v>
      </c>
      <c r="L33" s="9">
        <f t="shared" si="10"/>
        <v>254820.19279999999</v>
      </c>
      <c r="M33" s="9">
        <f t="shared" si="11"/>
        <v>7644.6057839999994</v>
      </c>
      <c r="N33" s="9">
        <f>L33*E33</f>
        <v>764460.5784</v>
      </c>
      <c r="O33">
        <v>3</v>
      </c>
      <c r="P33">
        <f t="shared" si="12"/>
        <v>380</v>
      </c>
    </row>
    <row r="35" spans="1:16">
      <c r="G35" s="9">
        <f t="shared" ref="G35:L35" si="15">(G31+G32+G33)/(300*7)</f>
        <v>28.525764838446872</v>
      </c>
      <c r="H35" s="9">
        <f t="shared" si="15"/>
        <v>11.025956412365714</v>
      </c>
      <c r="K35" s="9">
        <f t="shared" si="15"/>
        <v>15204.075714285715</v>
      </c>
      <c r="L35" s="9">
        <f t="shared" si="15"/>
        <v>339.17248033333334</v>
      </c>
    </row>
    <row r="38" spans="1:16">
      <c r="A38" s="18" t="s">
        <v>30</v>
      </c>
      <c r="B38" s="18"/>
      <c r="C38" s="18"/>
      <c r="D38" s="18"/>
      <c r="E38" s="18"/>
      <c r="F38" s="18"/>
      <c r="G38" s="18"/>
      <c r="H38" s="18"/>
      <c r="I38" s="18"/>
    </row>
    <row r="39" spans="1:16">
      <c r="A39" s="3"/>
      <c r="B39" s="3" t="s">
        <v>21</v>
      </c>
      <c r="C39" s="3" t="s">
        <v>13</v>
      </c>
      <c r="D39" s="3" t="s">
        <v>1</v>
      </c>
      <c r="E39" s="3" t="s">
        <v>23</v>
      </c>
      <c r="F39" s="3" t="s">
        <v>17</v>
      </c>
      <c r="G39" s="3" t="s">
        <v>18</v>
      </c>
      <c r="H39" s="3" t="s">
        <v>31</v>
      </c>
      <c r="I39" s="3" t="s">
        <v>20</v>
      </c>
    </row>
    <row r="40" spans="1:16">
      <c r="A40" s="3" t="s">
        <v>12</v>
      </c>
      <c r="B40" s="5">
        <f>K15*300*7*(1+10%)</f>
        <v>79762928.300000012</v>
      </c>
      <c r="C40" s="6">
        <f>AVERAGE(B11:B13)*(1+5%)</f>
        <v>4.2140000000000004E-2</v>
      </c>
      <c r="D40" s="7">
        <f>E40/(B40*C40)</f>
        <v>1.6812939107675955</v>
      </c>
      <c r="E40" s="5">
        <f>G40*I40</f>
        <v>5651181.5671346681</v>
      </c>
      <c r="F40" s="11">
        <f>(B40*C40*AVERAGE(C11:C13)*AVERAGE(P11:P13))/E40</f>
        <v>6.8708714683645038</v>
      </c>
      <c r="G40" s="5">
        <f>B40*C40*AVERAGE(C11:C13)*(SUM(H11:H13)/SUM(M11:M13))</f>
        <v>151220.82883730443</v>
      </c>
      <c r="H40" s="6">
        <f>G40/SUM(H11:H13)-1</f>
        <v>0.15266019275206788</v>
      </c>
      <c r="I40" s="5">
        <f>AVERAGE(I11:I13)*(1-20%)</f>
        <v>37.370391437377087</v>
      </c>
      <c r="J40" s="13">
        <f>I11/I40-1</f>
        <v>0.28034222045364077</v>
      </c>
    </row>
    <row r="41" spans="1:16">
      <c r="A41" s="3" t="s">
        <v>28</v>
      </c>
      <c r="B41" s="5">
        <f>K25*300*7*(1+10%)</f>
        <v>108804065.7</v>
      </c>
      <c r="C41" s="6">
        <f>AVERAGE(B21:B23)*(1+5%)</f>
        <v>1.9180000000000003E-2</v>
      </c>
      <c r="D41" s="7">
        <f>E41/(B41*C41)</f>
        <v>2.7847906629767283</v>
      </c>
      <c r="E41" s="5">
        <f>G41*I41</f>
        <v>5811473.7571760118</v>
      </c>
      <c r="F41" s="11">
        <f>(B41*C41*AVERAGE(C21:C23)*AVERAGE(P21:P23))/E41</f>
        <v>4.7034000011004951</v>
      </c>
      <c r="G41" s="5">
        <f>B41*C41*AVERAGE(C21:C23)*(SUM(H21:H23)/SUM(M21:M23))</f>
        <v>47976.956923096754</v>
      </c>
      <c r="H41" s="6">
        <f>G41/SUM(H21:H23)-1</f>
        <v>0.13828468280101025</v>
      </c>
      <c r="I41" s="5">
        <f>AVERAGE(I21:I23)*(1-20%)</f>
        <v>121.13052035566453</v>
      </c>
      <c r="J41" s="13">
        <f>I23/I41-1</f>
        <v>0.20493961422909468</v>
      </c>
    </row>
    <row r="42" spans="1:16">
      <c r="A42" s="3" t="s">
        <v>29</v>
      </c>
      <c r="B42" s="5">
        <f>K35*300*7*(1+10%)</f>
        <v>35121414.900000006</v>
      </c>
      <c r="C42" s="6">
        <f>AVERAGE(B31:B33)*(1+5%)</f>
        <v>2.3484999999999999E-2</v>
      </c>
      <c r="D42" s="7">
        <f>E42/(B42*C42)</f>
        <v>2.4178855224062326</v>
      </c>
      <c r="E42" s="5">
        <f>G42*I42</f>
        <v>1994335.880999418</v>
      </c>
      <c r="F42" s="11">
        <f>(B42*C42*AVERAGE(C31:C33)*AVERAGE(P31:P33))/E42</f>
        <v>4.7087622757331493</v>
      </c>
      <c r="G42" s="5">
        <f>B42*C42*AVERAGE(C31:C33)*(SUM(H31:H33)/SUM(M31:M33))</f>
        <v>26765.617618664932</v>
      </c>
      <c r="H42" s="6">
        <f>G42/SUM(H31:H33)-1</f>
        <v>0.15595706374006868</v>
      </c>
      <c r="I42" s="5">
        <f>AVERAGE(I31:I33)*(1-20%)</f>
        <v>74.511110089560319</v>
      </c>
      <c r="J42" s="13">
        <f>I31/I42-1</f>
        <v>0.23713172800547122</v>
      </c>
    </row>
    <row r="47" spans="1:16">
      <c r="D47">
        <f>C56*C55/C54</f>
        <v>282.44387191755618</v>
      </c>
    </row>
    <row r="49" spans="1:12">
      <c r="A49" s="18" t="s">
        <v>12</v>
      </c>
      <c r="B49" s="18"/>
      <c r="C49" s="18"/>
      <c r="D49" s="18"/>
    </row>
    <row r="50" spans="1:12">
      <c r="A50" s="19" t="s">
        <v>32</v>
      </c>
      <c r="B50" s="20"/>
      <c r="C50" s="20"/>
      <c r="D50" s="21"/>
    </row>
    <row r="51" spans="1:12">
      <c r="A51" s="3"/>
      <c r="B51" s="3" t="s">
        <v>33</v>
      </c>
      <c r="C51" s="3" t="s">
        <v>34</v>
      </c>
      <c r="D51" s="3" t="s">
        <v>35</v>
      </c>
      <c r="K51" t="s">
        <v>36</v>
      </c>
      <c r="L51" t="s">
        <v>1</v>
      </c>
    </row>
    <row r="52" spans="1:12">
      <c r="A52" s="3" t="s">
        <v>21</v>
      </c>
      <c r="B52" s="5">
        <f>G52*50.02%</f>
        <v>31848815.103775144</v>
      </c>
      <c r="C52" s="5">
        <f>G52*(1-50.02%)</f>
        <v>31823346.239237942</v>
      </c>
      <c r="D52" s="6">
        <f t="shared" ref="D52:D58" si="16">B52/C52-1</f>
        <v>8.0032012805109076E-4</v>
      </c>
      <c r="G52" s="9">
        <f>B40*1.02342*78%</f>
        <v>63672161.343013085</v>
      </c>
      <c r="H52" s="9">
        <f>G52*90.33224%</f>
        <v>57516489.597557798</v>
      </c>
      <c r="I52" s="13">
        <f>G52/H52-1</f>
        <v>0.10702446878323846</v>
      </c>
      <c r="K52">
        <f>C52*C53</f>
        <v>1323851.2035522982</v>
      </c>
      <c r="L52" s="14">
        <f>C55/K52</f>
        <v>2.03981066923998</v>
      </c>
    </row>
    <row r="53" spans="1:12">
      <c r="A53" s="3" t="s">
        <v>13</v>
      </c>
      <c r="B53" s="4">
        <v>4.3400000000000001E-2</v>
      </c>
      <c r="C53" s="4">
        <v>4.1599999999999998E-2</v>
      </c>
      <c r="D53" s="6">
        <f t="shared" si="16"/>
        <v>4.3269230769230838E-2</v>
      </c>
      <c r="K53">
        <f>B52*B53</f>
        <v>1382238.5755038413</v>
      </c>
      <c r="L53" s="14">
        <f>B55/K53</f>
        <v>2.0530118147407483</v>
      </c>
    </row>
    <row r="54" spans="1:12">
      <c r="A54" s="3" t="s">
        <v>37</v>
      </c>
      <c r="B54" s="5">
        <f t="shared" ref="B54:B57" si="17">G54-C54</f>
        <v>70090.854166090605</v>
      </c>
      <c r="C54" s="5">
        <f>G54*48.5%</f>
        <v>66007.891787483386</v>
      </c>
      <c r="D54" s="6">
        <f t="shared" si="16"/>
        <v>6.1855670103092786E-2</v>
      </c>
      <c r="G54" s="12">
        <f>G40*90%</f>
        <v>136098.74595357399</v>
      </c>
    </row>
    <row r="55" spans="1:12">
      <c r="A55" s="3" t="s">
        <v>23</v>
      </c>
      <c r="B55" s="5">
        <f t="shared" si="17"/>
        <v>2837752.1262998083</v>
      </c>
      <c r="C55" s="5">
        <f>48.76%*G55</f>
        <v>2700405.8094921666</v>
      </c>
      <c r="D55" s="6">
        <f t="shared" si="16"/>
        <v>5.0861361771944447E-2</v>
      </c>
      <c r="G55" s="9">
        <f>E40*0.98</f>
        <v>5538157.9357919749</v>
      </c>
    </row>
    <row r="56" spans="1:12">
      <c r="A56" s="3" t="s">
        <v>17</v>
      </c>
      <c r="B56" s="7">
        <f>AVERAGE(P11:P13)*B54/B55</f>
        <v>6.9762020626137948</v>
      </c>
      <c r="C56" s="8">
        <f>C54*AVERAGE(P11:P13)/C55</f>
        <v>6.9039714209020797</v>
      </c>
      <c r="D56" s="6">
        <f t="shared" si="16"/>
        <v>1.0462187240960041E-2</v>
      </c>
    </row>
    <row r="57" spans="1:12">
      <c r="A57" s="3" t="s">
        <v>38</v>
      </c>
      <c r="B57" s="5">
        <f t="shared" si="17"/>
        <v>82567.479870141251</v>
      </c>
      <c r="C57" s="5">
        <f>G57*46.47%</f>
        <v>71677.765543909278</v>
      </c>
      <c r="D57" s="6">
        <f t="shared" si="16"/>
        <v>0.1519259737465033</v>
      </c>
      <c r="G57" s="9">
        <f>G40*1.02</f>
        <v>154245.24541405053</v>
      </c>
    </row>
    <row r="58" spans="1:12">
      <c r="A58" s="3" t="s">
        <v>5</v>
      </c>
      <c r="B58" s="8">
        <f>B55/B57</f>
        <v>34.368883860363773</v>
      </c>
      <c r="C58" s="8">
        <f>C55/C57</f>
        <v>37.674246525415441</v>
      </c>
      <c r="D58" s="6">
        <f t="shared" si="16"/>
        <v>-8.773533567079661E-2</v>
      </c>
      <c r="G58" s="13">
        <f>AVERAGE(I11:I13)/C58-1</f>
        <v>0.23991834223435049</v>
      </c>
      <c r="H58" s="13">
        <f>AVERAGE(I11:I13)/B58-1</f>
        <v>0.35916515318070985</v>
      </c>
    </row>
    <row r="64" spans="1:12">
      <c r="A64" s="22" t="s">
        <v>28</v>
      </c>
      <c r="B64" s="22"/>
      <c r="C64" s="22"/>
      <c r="D64" s="22"/>
    </row>
    <row r="65" spans="1:12">
      <c r="A65" s="23" t="s">
        <v>39</v>
      </c>
      <c r="B65" s="24"/>
      <c r="C65" s="24"/>
      <c r="D65" s="25"/>
    </row>
    <row r="66" spans="1:12">
      <c r="A66" s="2"/>
      <c r="B66" s="2" t="s">
        <v>33</v>
      </c>
      <c r="C66" s="2" t="s">
        <v>34</v>
      </c>
      <c r="D66" s="2" t="s">
        <v>35</v>
      </c>
      <c r="K66" t="s">
        <v>36</v>
      </c>
      <c r="L66" t="s">
        <v>1</v>
      </c>
    </row>
    <row r="67" spans="1:12">
      <c r="A67" s="3" t="s">
        <v>21</v>
      </c>
      <c r="B67" s="5">
        <f>G67-C67</f>
        <v>45700079.762001202</v>
      </c>
      <c r="C67" s="5">
        <f>G67*49.95%</f>
        <v>45608770.911327884</v>
      </c>
      <c r="D67" s="6">
        <f t="shared" ref="D67:D73" si="18">B67/C67-1</f>
        <v>2.0020020020017348E-3</v>
      </c>
      <c r="G67" s="9">
        <f>B41*1.02342*82%</f>
        <v>91308850.673329085</v>
      </c>
      <c r="H67" s="9">
        <f>G67*91.33224%</f>
        <v>83394418.638206527</v>
      </c>
      <c r="I67" s="13">
        <f>G67/H67-1</f>
        <v>9.4903617824330322E-2</v>
      </c>
      <c r="K67">
        <f>C67*C68</f>
        <v>921297.17240882316</v>
      </c>
      <c r="L67" s="14">
        <f>C70/K67</f>
        <v>3.1753516307365204</v>
      </c>
    </row>
    <row r="68" spans="1:12">
      <c r="A68" s="3" t="s">
        <v>13</v>
      </c>
      <c r="B68" s="4">
        <v>2.1499999999999998E-2</v>
      </c>
      <c r="C68" s="4">
        <v>2.0199999999999999E-2</v>
      </c>
      <c r="D68" s="6">
        <f t="shared" si="18"/>
        <v>6.4356435643564414E-2</v>
      </c>
      <c r="K68">
        <f>B67*B68</f>
        <v>982551.71488302574</v>
      </c>
      <c r="L68" s="14">
        <f>B70/K68</f>
        <v>3.1288271349916887</v>
      </c>
    </row>
    <row r="69" spans="1:12">
      <c r="A69" s="3" t="s">
        <v>37</v>
      </c>
      <c r="B69" s="5">
        <f t="shared" ref="B69:B72" si="19">G69-C69</f>
        <v>22215.729903239953</v>
      </c>
      <c r="C69" s="5">
        <f>G69*48.55%</f>
        <v>20963.531327547127</v>
      </c>
      <c r="D69" s="6">
        <f t="shared" si="18"/>
        <v>5.9732234809474871E-2</v>
      </c>
      <c r="G69" s="12">
        <f>G41*90%</f>
        <v>43179.26123078708</v>
      </c>
    </row>
    <row r="70" spans="1:12">
      <c r="A70" s="3" t="s">
        <v>23</v>
      </c>
      <c r="B70" s="5">
        <f t="shared" si="19"/>
        <v>3074234.4670586279</v>
      </c>
      <c r="C70" s="5">
        <f>48.76%*G70</f>
        <v>2925442.4788013017</v>
      </c>
      <c r="D70" s="6">
        <f t="shared" si="18"/>
        <v>5.0861361771944225E-2</v>
      </c>
      <c r="G70" s="9">
        <f>E41*1.032384761</f>
        <v>5999676.9458599295</v>
      </c>
    </row>
    <row r="71" spans="1:12">
      <c r="A71" s="3" t="s">
        <v>17</v>
      </c>
      <c r="B71" s="7">
        <f>AVERAGE(P21:P23)*B69/B70</f>
        <v>4.5287858218463866</v>
      </c>
      <c r="C71" s="8">
        <f>C69*AVERAGE(P21:P23)/C70</f>
        <v>4.4908759775289759</v>
      </c>
      <c r="D71" s="6">
        <f t="shared" si="18"/>
        <v>8.4415255524981081E-3</v>
      </c>
    </row>
    <row r="72" spans="1:12">
      <c r="A72" s="3" t="s">
        <v>38</v>
      </c>
      <c r="B72" s="5">
        <f t="shared" si="19"/>
        <v>25872.725467746077</v>
      </c>
      <c r="C72" s="5">
        <f>G72*47.13%</f>
        <v>23063.770593812613</v>
      </c>
      <c r="D72" s="6">
        <f t="shared" si="18"/>
        <v>0.12179079142796501</v>
      </c>
      <c r="G72" s="9">
        <f>G41*1.02</f>
        <v>48936.49606155869</v>
      </c>
    </row>
    <row r="73" spans="1:12">
      <c r="A73" s="3" t="s">
        <v>5</v>
      </c>
      <c r="B73" s="8">
        <f>B70/B72</f>
        <v>118.8214388503865</v>
      </c>
      <c r="C73" s="8">
        <f>C70/C72</f>
        <v>126.84146622521986</v>
      </c>
      <c r="D73" s="6">
        <f t="shared" si="18"/>
        <v>-6.3228750135960965E-2</v>
      </c>
      <c r="G73" s="13">
        <f>AVERAGE(I21:I23)/C73-1</f>
        <v>0.19371964823972698</v>
      </c>
      <c r="H73" s="13">
        <f>AVERAGE(I21:I23)/B73-1</f>
        <v>0.27429150757239906</v>
      </c>
    </row>
    <row r="78" spans="1:12">
      <c r="A78" s="22" t="s">
        <v>40</v>
      </c>
      <c r="B78" s="22"/>
      <c r="C78" s="22"/>
      <c r="D78" s="22"/>
    </row>
    <row r="79" spans="1:12">
      <c r="A79" s="23" t="s">
        <v>41</v>
      </c>
      <c r="B79" s="24"/>
      <c r="C79" s="24"/>
      <c r="D79" s="25"/>
    </row>
    <row r="80" spans="1:12">
      <c r="A80" s="2"/>
      <c r="B80" s="2" t="s">
        <v>33</v>
      </c>
      <c r="C80" s="2" t="s">
        <v>34</v>
      </c>
      <c r="D80" s="2" t="s">
        <v>35</v>
      </c>
      <c r="K80" t="s">
        <v>36</v>
      </c>
      <c r="L80" t="s">
        <v>1</v>
      </c>
    </row>
    <row r="81" spans="1:12">
      <c r="A81" s="3" t="s">
        <v>21</v>
      </c>
      <c r="B81" s="5">
        <f t="shared" ref="B81:B84" si="20">G81-C81</f>
        <v>16062394.896255203</v>
      </c>
      <c r="C81" s="5">
        <f>G81*49.985%</f>
        <v>16052760.349681422</v>
      </c>
      <c r="D81" s="6">
        <f t="shared" ref="D81:D87" si="21">B81/C81-1</f>
        <v>6.001800540160751E-4</v>
      </c>
      <c r="G81" s="9">
        <f>B42*1.02742*89%</f>
        <v>32115155.245936625</v>
      </c>
      <c r="H81" s="9">
        <f>G81*90.783224%</f>
        <v>29155173.324866399</v>
      </c>
      <c r="I81" s="13">
        <f>G81/H81-1</f>
        <v>0.10152510115745605</v>
      </c>
      <c r="K81">
        <f>C81*C82</f>
        <v>372424.04011260899</v>
      </c>
      <c r="L81" s="14">
        <f>C84/K81</f>
        <v>2.5147889752134507</v>
      </c>
    </row>
    <row r="82" spans="1:12">
      <c r="A82" s="3" t="s">
        <v>13</v>
      </c>
      <c r="B82" s="4">
        <v>2.4500000000000001E-2</v>
      </c>
      <c r="C82" s="4">
        <v>2.3199999999999998E-2</v>
      </c>
      <c r="D82" s="6">
        <f t="shared" si="21"/>
        <v>5.6034482758620774E-2</v>
      </c>
      <c r="K82">
        <f>B81*B82</f>
        <v>393528.67495825246</v>
      </c>
      <c r="L82" s="14">
        <f>B84/K82</f>
        <v>2.5206677721935176</v>
      </c>
    </row>
    <row r="83" spans="1:12">
      <c r="A83" s="3" t="s">
        <v>37</v>
      </c>
      <c r="B83" s="5">
        <f t="shared" si="20"/>
        <v>12393.819238322798</v>
      </c>
      <c r="C83" s="5">
        <f>G83*48.55%</f>
        <v>11695.236618475643</v>
      </c>
      <c r="D83" s="6">
        <f t="shared" si="21"/>
        <v>5.9732234809474871E-2</v>
      </c>
      <c r="G83" s="12">
        <f>G42*90%</f>
        <v>24089.055856798441</v>
      </c>
    </row>
    <row r="84" spans="1:12">
      <c r="A84" s="3" t="s">
        <v>23</v>
      </c>
      <c r="B84" s="5">
        <f t="shared" si="20"/>
        <v>991955.04840128508</v>
      </c>
      <c r="C84" s="5">
        <f>48.564%*G84</f>
        <v>936567.87017964094</v>
      </c>
      <c r="D84" s="6">
        <f t="shared" si="21"/>
        <v>5.9138456469812972E-2</v>
      </c>
      <c r="G84" s="9">
        <f>E42*0.967000061</f>
        <v>1928522.918580926</v>
      </c>
    </row>
    <row r="85" spans="1:12">
      <c r="A85" s="3" t="s">
        <v>17</v>
      </c>
      <c r="B85" s="7">
        <f>AVERAGE(P31:P33)*B83/B84</f>
        <v>4.822071548074029</v>
      </c>
      <c r="C85" s="8">
        <f>C83*AVERAGE(P31:P33)/C84</f>
        <v>4.8193696942061406</v>
      </c>
      <c r="D85" s="6">
        <f t="shared" si="21"/>
        <v>5.6062390713385035E-4</v>
      </c>
    </row>
    <row r="86" spans="1:12">
      <c r="A86" s="3" t="s">
        <v>38</v>
      </c>
      <c r="B86" s="5">
        <f>G86-C86</f>
        <v>14417.62111770529</v>
      </c>
      <c r="C86" s="5">
        <f>G86*47.19%</f>
        <v>12883.308853332939</v>
      </c>
      <c r="D86" s="6">
        <f t="shared" si="21"/>
        <v>0.11909302818393752</v>
      </c>
      <c r="G86" s="9">
        <f>G42*1.02</f>
        <v>27300.929971038229</v>
      </c>
    </row>
    <row r="87" spans="1:12">
      <c r="A87" s="3" t="s">
        <v>5</v>
      </c>
      <c r="B87" s="8">
        <f>B84/B86</f>
        <v>68.801575537529786</v>
      </c>
      <c r="C87" s="8">
        <f>C84/C86</f>
        <v>72.696221199210697</v>
      </c>
      <c r="D87" s="6">
        <f t="shared" si="21"/>
        <v>-5.3574251830894259E-2</v>
      </c>
      <c r="G87" s="13">
        <f>AVERAGE(I31:I33)/C87-1</f>
        <v>0.28120672678047876</v>
      </c>
      <c r="H87" s="13">
        <f>AVERAGE(I31:I33)/B87-1</f>
        <v>0.3537319005310442</v>
      </c>
    </row>
  </sheetData>
  <mergeCells count="10">
    <mergeCell ref="A50:D50"/>
    <mergeCell ref="A64:D64"/>
    <mergeCell ref="A65:D65"/>
    <mergeCell ref="A78:D78"/>
    <mergeCell ref="A79:D79"/>
    <mergeCell ref="A9:I9"/>
    <mergeCell ref="A19:I19"/>
    <mergeCell ref="A29:I29"/>
    <mergeCell ref="A38:I38"/>
    <mergeCell ref="A49:D49"/>
  </mergeCells>
  <phoneticPr fontId="5" type="noConversion"/>
  <pageMargins left="0.75" right="0.75" top="1" bottom="1" header="0.5" footer="0.5"/>
  <ignoredErrors>
    <ignoredError sqref="B85 B71 B5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3D16E-5C60-244B-B1FA-7B7353369AB7}">
  <dimension ref="A1:I64"/>
  <sheetViews>
    <sheetView tabSelected="1" topLeftCell="A32" workbookViewId="0">
      <selection activeCell="D64" sqref="D64"/>
    </sheetView>
  </sheetViews>
  <sheetFormatPr baseColWidth="10" defaultRowHeight="14"/>
  <cols>
    <col min="1" max="1" width="13" customWidth="1"/>
    <col min="2" max="2" width="13" bestFit="1" customWidth="1"/>
  </cols>
  <sheetData>
    <row r="1" spans="1:4">
      <c r="A1" s="26" t="s">
        <v>42</v>
      </c>
    </row>
    <row r="2" spans="1:4">
      <c r="A2" s="3"/>
      <c r="B2" s="29" t="s">
        <v>47</v>
      </c>
      <c r="C2" s="29" t="s">
        <v>48</v>
      </c>
      <c r="D2" s="29" t="s">
        <v>46</v>
      </c>
    </row>
    <row r="3" spans="1:4">
      <c r="A3" s="29" t="s">
        <v>44</v>
      </c>
      <c r="B3" s="30">
        <v>22374692</v>
      </c>
      <c r="C3" s="30">
        <f>B3*(1+D3)</f>
        <v>22374692</v>
      </c>
      <c r="D3" s="29"/>
    </row>
    <row r="4" spans="1:4">
      <c r="A4" s="29" t="s">
        <v>43</v>
      </c>
      <c r="B4" s="4">
        <v>2.1700000000000001E-2</v>
      </c>
      <c r="C4" s="4">
        <f t="shared" ref="C4:C14" si="0">B4*(1+D4)</f>
        <v>2.1700000000000001E-2</v>
      </c>
      <c r="D4" s="31"/>
    </row>
    <row r="5" spans="1:4">
      <c r="A5" s="29" t="s">
        <v>45</v>
      </c>
      <c r="B5" s="30">
        <f>B3*B4</f>
        <v>485530.81640000001</v>
      </c>
      <c r="C5" s="30">
        <f>C3*C4</f>
        <v>485530.81640000001</v>
      </c>
      <c r="D5" s="3"/>
    </row>
    <row r="6" spans="1:4">
      <c r="A6" s="29" t="s">
        <v>54</v>
      </c>
      <c r="B6" s="32">
        <v>0.23649999999999999</v>
      </c>
      <c r="C6" s="4">
        <f t="shared" si="0"/>
        <v>0.23649999999999999</v>
      </c>
      <c r="D6" s="3"/>
    </row>
    <row r="7" spans="1:4">
      <c r="A7" s="29" t="s">
        <v>55</v>
      </c>
      <c r="B7" s="32">
        <v>6.7799999999999999E-2</v>
      </c>
      <c r="C7" s="4">
        <f t="shared" si="0"/>
        <v>7.1190000000000003E-2</v>
      </c>
      <c r="D7" s="31">
        <v>0.05</v>
      </c>
    </row>
    <row r="8" spans="1:4">
      <c r="A8" s="29" t="s">
        <v>56</v>
      </c>
      <c r="B8" s="4">
        <f>B6*B7</f>
        <v>1.6034699999999999E-2</v>
      </c>
      <c r="C8" s="4">
        <f>C6*C7*(1+D8)</f>
        <v>2.1887365500000002E-2</v>
      </c>
      <c r="D8" s="33">
        <v>0.3</v>
      </c>
    </row>
    <row r="9" spans="1:4">
      <c r="A9" s="29" t="s">
        <v>57</v>
      </c>
      <c r="B9" s="4">
        <f>B8*60%+1.23%*40%</f>
        <v>1.4540819999999999E-2</v>
      </c>
      <c r="C9" s="4">
        <f>C8*60%+1.23%*40%</f>
        <v>1.8052419300000004E-2</v>
      </c>
      <c r="D9" s="34">
        <f>C9/B9-1</f>
        <v>0.2414993996212047</v>
      </c>
    </row>
    <row r="10" spans="1:4">
      <c r="A10" s="29" t="s">
        <v>49</v>
      </c>
      <c r="B10" s="30">
        <f>B5*B9</f>
        <v>7060.0162057254474</v>
      </c>
      <c r="C10" s="30">
        <f>C5*C9</f>
        <v>8765.0058807241185</v>
      </c>
      <c r="D10" s="34"/>
    </row>
    <row r="11" spans="1:4">
      <c r="A11" s="29" t="s">
        <v>50</v>
      </c>
      <c r="B11" s="30">
        <f>B10*563</f>
        <v>3974789.1238234271</v>
      </c>
      <c r="C11" s="30">
        <f>C10*563</f>
        <v>4934698.3108476792</v>
      </c>
      <c r="D11" s="34"/>
    </row>
    <row r="12" spans="1:4">
      <c r="A12" s="29" t="s">
        <v>51</v>
      </c>
      <c r="B12" s="3">
        <v>2.3199999999999998</v>
      </c>
      <c r="C12" s="3">
        <f t="shared" si="0"/>
        <v>2.3199999999999998</v>
      </c>
      <c r="D12" s="3"/>
    </row>
    <row r="13" spans="1:4">
      <c r="A13" s="29" t="s">
        <v>52</v>
      </c>
      <c r="B13" s="30">
        <f>B5*B12</f>
        <v>1126431.4940479998</v>
      </c>
      <c r="C13" s="30">
        <f t="shared" si="0"/>
        <v>1126431.4940479998</v>
      </c>
      <c r="D13" s="3"/>
    </row>
    <row r="14" spans="1:4">
      <c r="A14" s="29" t="s">
        <v>53</v>
      </c>
      <c r="B14" s="35">
        <f>B11/B13</f>
        <v>3.528655887931035</v>
      </c>
      <c r="C14" s="35">
        <f>C11/C13</f>
        <v>4.3808241663362093</v>
      </c>
      <c r="D14" s="34">
        <f>C14/B14-1</f>
        <v>0.2414993996212047</v>
      </c>
    </row>
    <row r="18" spans="1:9">
      <c r="A18" s="26" t="s">
        <v>58</v>
      </c>
    </row>
    <row r="19" spans="1:9">
      <c r="A19" s="3"/>
      <c r="B19" s="29" t="s">
        <v>47</v>
      </c>
      <c r="C19" s="29" t="s">
        <v>61</v>
      </c>
      <c r="D19" s="29" t="s">
        <v>62</v>
      </c>
    </row>
    <row r="20" spans="1:9">
      <c r="A20" s="29" t="s">
        <v>44</v>
      </c>
      <c r="B20" s="30">
        <f>B3</f>
        <v>22374692</v>
      </c>
      <c r="C20" s="30">
        <f>B20*1.0264598765</f>
        <v>22966723.587045535</v>
      </c>
      <c r="D20" s="32">
        <f>C20/B20-1</f>
        <v>2.6459876499999924E-2</v>
      </c>
      <c r="F20" s="26" t="s">
        <v>64</v>
      </c>
    </row>
    <row r="21" spans="1:9">
      <c r="A21" s="29" t="s">
        <v>43</v>
      </c>
      <c r="B21" s="4">
        <v>2.1700000000000001E-2</v>
      </c>
      <c r="C21" s="4">
        <v>2.2200000000000001E-2</v>
      </c>
      <c r="D21" s="32">
        <f>C21/B21-1</f>
        <v>2.3041474654377891E-2</v>
      </c>
    </row>
    <row r="22" spans="1:9">
      <c r="A22" s="29" t="s">
        <v>45</v>
      </c>
      <c r="B22" s="30">
        <f>B20*B21</f>
        <v>485530.81640000001</v>
      </c>
      <c r="C22" s="30">
        <f>C20*C21</f>
        <v>509861.2636324109</v>
      </c>
      <c r="D22" s="32">
        <f t="shared" ref="D22:D23" si="1">C22/B22-1</f>
        <v>5.0111025728110548E-2</v>
      </c>
    </row>
    <row r="23" spans="1:9">
      <c r="A23" s="29" t="s">
        <v>54</v>
      </c>
      <c r="B23" s="32">
        <v>0.23649999999999999</v>
      </c>
      <c r="C23" s="32">
        <v>0.23730000000000001</v>
      </c>
      <c r="D23" s="32">
        <f t="shared" si="1"/>
        <v>3.3826638477802984E-3</v>
      </c>
    </row>
    <row r="24" spans="1:9">
      <c r="A24" s="29" t="s">
        <v>55</v>
      </c>
      <c r="B24" s="32">
        <v>6.7799999999999999E-2</v>
      </c>
      <c r="C24" s="32">
        <v>7.2400000000000006E-2</v>
      </c>
      <c r="D24" s="4">
        <f>C24/B24-1</f>
        <v>6.7846607669616699E-2</v>
      </c>
    </row>
    <row r="25" spans="1:9">
      <c r="A25" s="29" t="s">
        <v>56</v>
      </c>
      <c r="B25" s="4">
        <f>B23*B24</f>
        <v>1.6034699999999999E-2</v>
      </c>
      <c r="C25" s="4">
        <v>2.1399999999999999E-2</v>
      </c>
      <c r="D25" s="4">
        <f>C25/B25-1</f>
        <v>0.33460557416103831</v>
      </c>
      <c r="F25" s="26" t="s">
        <v>63</v>
      </c>
    </row>
    <row r="26" spans="1:9">
      <c r="A26" s="29" t="s">
        <v>57</v>
      </c>
      <c r="B26" s="4">
        <f>B25*60%+1.23%*40%</f>
        <v>1.4540819999999999E-2</v>
      </c>
      <c r="C26" s="4">
        <f>C25*70%+1.23%*30%</f>
        <v>1.8669999999999999E-2</v>
      </c>
      <c r="D26" s="4">
        <f>C26/B26-1</f>
        <v>0.28397160545278743</v>
      </c>
    </row>
    <row r="27" spans="1:9">
      <c r="A27" s="29" t="s">
        <v>49</v>
      </c>
      <c r="B27" s="30">
        <f>B22*B26</f>
        <v>7060.0162057254474</v>
      </c>
      <c r="C27" s="30">
        <f>C22*C26</f>
        <v>9519.1097920171105</v>
      </c>
      <c r="D27" s="4">
        <f>C27/B27-1</f>
        <v>0.34831273960779541</v>
      </c>
    </row>
    <row r="28" spans="1:9">
      <c r="A28" s="29" t="s">
        <v>50</v>
      </c>
      <c r="B28" s="30">
        <f>B27*563</f>
        <v>3974789.1238234271</v>
      </c>
      <c r="C28" s="30">
        <f>C27*563</f>
        <v>5359258.8129056329</v>
      </c>
      <c r="D28" s="4">
        <f t="shared" ref="D28:D31" si="2">C28/B28-1</f>
        <v>0.34831273960779519</v>
      </c>
      <c r="G28" s="26" t="s">
        <v>72</v>
      </c>
    </row>
    <row r="29" spans="1:9">
      <c r="A29" s="29" t="s">
        <v>51</v>
      </c>
      <c r="B29" s="3">
        <v>2.3199999999999998</v>
      </c>
      <c r="C29" s="3">
        <v>2.33</v>
      </c>
      <c r="D29" s="4">
        <f t="shared" si="2"/>
        <v>4.3103448275862988E-3</v>
      </c>
      <c r="G29" s="26" t="s">
        <v>47</v>
      </c>
      <c r="H29" s="26" t="s">
        <v>61</v>
      </c>
    </row>
    <row r="30" spans="1:9">
      <c r="A30" s="29" t="s">
        <v>52</v>
      </c>
      <c r="B30" s="30">
        <f>B22*B29</f>
        <v>1126431.4940479998</v>
      </c>
      <c r="C30" s="30">
        <f>C22*C29</f>
        <v>1187976.7442635174</v>
      </c>
      <c r="D30" s="4">
        <f t="shared" si="2"/>
        <v>5.4637366356249162E-2</v>
      </c>
      <c r="G30" s="27">
        <f>B22*B23*B24</f>
        <v>7785.3409817290803</v>
      </c>
      <c r="H30" s="27">
        <f>C22*C23*C24</f>
        <v>8759.681637061909</v>
      </c>
    </row>
    <row r="31" spans="1:9">
      <c r="A31" s="29" t="s">
        <v>53</v>
      </c>
      <c r="B31" s="35">
        <f>B28/B30</f>
        <v>3.528655887931035</v>
      </c>
      <c r="C31" s="35">
        <f>C28/C30</f>
        <v>4.5112489270386256</v>
      </c>
      <c r="D31" s="4">
        <f t="shared" si="2"/>
        <v>0.27846099770406241</v>
      </c>
      <c r="G31" s="27">
        <f>B30/G30</f>
        <v>144.686211778206</v>
      </c>
      <c r="H31" s="27">
        <f>C30/H30</f>
        <v>135.61871235562137</v>
      </c>
      <c r="I31" s="28">
        <f>H31/G31-1</f>
        <v>-6.2670100427292152E-2</v>
      </c>
    </row>
    <row r="36" spans="1:6">
      <c r="A36" s="26" t="s">
        <v>65</v>
      </c>
    </row>
    <row r="37" spans="1:6">
      <c r="A37" s="3"/>
      <c r="B37" s="29" t="s">
        <v>66</v>
      </c>
      <c r="C37" s="29" t="s">
        <v>67</v>
      </c>
      <c r="D37" s="29" t="s">
        <v>68</v>
      </c>
      <c r="F37" s="26" t="s">
        <v>69</v>
      </c>
    </row>
    <row r="38" spans="1:6">
      <c r="A38" s="29" t="s">
        <v>44</v>
      </c>
      <c r="B38" s="30">
        <f>C20</f>
        <v>22966723.587045535</v>
      </c>
      <c r="C38" s="3">
        <v>24710712</v>
      </c>
      <c r="D38" s="32">
        <f>C38/B38-1</f>
        <v>7.5935446618871083E-2</v>
      </c>
    </row>
    <row r="39" spans="1:6">
      <c r="A39" s="29" t="s">
        <v>43</v>
      </c>
      <c r="B39" s="4">
        <v>2.2200000000000001E-2</v>
      </c>
      <c r="C39" s="4">
        <v>2.2800000000000001E-2</v>
      </c>
      <c r="D39" s="32">
        <f>C39/B39-1</f>
        <v>2.7027027027026973E-2</v>
      </c>
    </row>
    <row r="40" spans="1:6">
      <c r="A40" s="29" t="s">
        <v>45</v>
      </c>
      <c r="B40" s="30">
        <f>B38*B39</f>
        <v>509861.2636324109</v>
      </c>
      <c r="C40" s="30">
        <f>C38*C39</f>
        <v>563404.23360000004</v>
      </c>
      <c r="D40" s="32">
        <f>C40/B40-1</f>
        <v>0.10501478301397582</v>
      </c>
    </row>
    <row r="41" spans="1:6">
      <c r="A41" s="29" t="s">
        <v>54</v>
      </c>
      <c r="B41" s="32">
        <f>C23</f>
        <v>0.23730000000000001</v>
      </c>
      <c r="C41" s="32">
        <v>0.23730000000000001</v>
      </c>
      <c r="D41" s="3"/>
    </row>
    <row r="42" spans="1:6">
      <c r="A42" s="29" t="s">
        <v>55</v>
      </c>
      <c r="B42" s="32">
        <f t="shared" ref="B42:B49" si="3">C24</f>
        <v>7.2400000000000006E-2</v>
      </c>
      <c r="C42" s="32">
        <f>B42</f>
        <v>7.2400000000000006E-2</v>
      </c>
      <c r="D42" s="3"/>
    </row>
    <row r="43" spans="1:6">
      <c r="A43" s="29" t="s">
        <v>56</v>
      </c>
      <c r="B43" s="32">
        <f t="shared" si="3"/>
        <v>2.1399999999999999E-2</v>
      </c>
      <c r="C43" s="4">
        <v>2.1399999999999999E-2</v>
      </c>
      <c r="D43" s="3"/>
    </row>
    <row r="44" spans="1:6">
      <c r="A44" s="29" t="s">
        <v>57</v>
      </c>
      <c r="B44" s="4">
        <f t="shared" si="3"/>
        <v>1.8669999999999999E-2</v>
      </c>
      <c r="C44" s="36">
        <v>1.9599999999999999E-2</v>
      </c>
      <c r="D44" s="32">
        <f>C44/B44-1</f>
        <v>4.9812533476164988E-2</v>
      </c>
    </row>
    <row r="45" spans="1:6">
      <c r="A45" s="29" t="s">
        <v>49</v>
      </c>
      <c r="B45" s="30">
        <f>B40*B44</f>
        <v>9519.1097920171105</v>
      </c>
      <c r="C45" s="30">
        <f>C40*C44</f>
        <v>11042.722978560001</v>
      </c>
      <c r="D45" s="32">
        <f>C45/B45-1</f>
        <v>0.16005836888451674</v>
      </c>
    </row>
    <row r="46" spans="1:6">
      <c r="A46" s="29" t="s">
        <v>50</v>
      </c>
      <c r="B46" s="30">
        <f>B45*563</f>
        <v>5359258.8129056329</v>
      </c>
      <c r="C46" s="30">
        <f>C45*563</f>
        <v>6217053.0369292805</v>
      </c>
      <c r="D46" s="32"/>
    </row>
    <row r="47" spans="1:6">
      <c r="A47" s="29" t="s">
        <v>51</v>
      </c>
      <c r="B47" s="3">
        <f t="shared" si="3"/>
        <v>2.33</v>
      </c>
      <c r="C47" s="3">
        <v>2.33</v>
      </c>
      <c r="D47" s="3"/>
    </row>
    <row r="48" spans="1:6">
      <c r="A48" s="29" t="s">
        <v>52</v>
      </c>
      <c r="B48" s="30">
        <f>B40*B47</f>
        <v>1187976.7442635174</v>
      </c>
      <c r="C48" s="30">
        <f>C40*C47</f>
        <v>1312731.8642880002</v>
      </c>
      <c r="D48" s="32">
        <f t="shared" ref="D48:D49" si="4">C48/B48-1</f>
        <v>0.10501478301397582</v>
      </c>
    </row>
    <row r="49" spans="1:4">
      <c r="A49" s="29" t="s">
        <v>53</v>
      </c>
      <c r="B49" s="35">
        <f t="shared" si="3"/>
        <v>4.5112489270386256</v>
      </c>
      <c r="C49" s="35">
        <f>C46/C48</f>
        <v>4.7359656652360513</v>
      </c>
      <c r="D49" s="32">
        <f t="shared" si="4"/>
        <v>4.9812533476165211E-2</v>
      </c>
    </row>
    <row r="54" spans="1:4">
      <c r="A54" s="26" t="s">
        <v>70</v>
      </c>
    </row>
    <row r="55" spans="1:4">
      <c r="A55" s="3"/>
      <c r="B55" s="29" t="s">
        <v>59</v>
      </c>
      <c r="C55" s="29" t="s">
        <v>60</v>
      </c>
      <c r="D55" s="29" t="s">
        <v>71</v>
      </c>
    </row>
    <row r="56" spans="1:4">
      <c r="A56" s="29" t="s">
        <v>44</v>
      </c>
      <c r="B56" s="30">
        <f>B38*5%*1.001287</f>
        <v>1149814.0880151032</v>
      </c>
      <c r="C56" s="3">
        <v>1208736</v>
      </c>
      <c r="D56" s="32">
        <f>C56/B56-1</f>
        <v>5.1244729560247615E-2</v>
      </c>
    </row>
    <row r="57" spans="1:4">
      <c r="A57" s="29" t="s">
        <v>43</v>
      </c>
      <c r="B57" s="4">
        <v>2.2100000000000002E-2</v>
      </c>
      <c r="C57" s="4">
        <v>2.2499999999999999E-2</v>
      </c>
      <c r="D57" s="32">
        <f t="shared" ref="D57:D64" si="5">C57/B57-1</f>
        <v>1.8099547511312153E-2</v>
      </c>
    </row>
    <row r="58" spans="1:4">
      <c r="A58" s="29" t="s">
        <v>45</v>
      </c>
      <c r="B58" s="30">
        <f>B56*B57</f>
        <v>25410.891345133783</v>
      </c>
      <c r="C58" s="30">
        <f>C56*C57</f>
        <v>27196.559999999998</v>
      </c>
      <c r="D58" s="32">
        <f t="shared" si="5"/>
        <v>7.0271783488939699E-2</v>
      </c>
    </row>
    <row r="59" spans="1:4">
      <c r="A59" s="29" t="s">
        <v>57</v>
      </c>
      <c r="B59" s="4">
        <v>2.0299999999999999E-2</v>
      </c>
      <c r="C59" s="4">
        <v>2.12E-2</v>
      </c>
      <c r="D59" s="32">
        <f t="shared" si="5"/>
        <v>4.4334975369458185E-2</v>
      </c>
    </row>
    <row r="60" spans="1:4">
      <c r="A60" s="29" t="s">
        <v>49</v>
      </c>
      <c r="B60" s="30">
        <f>B58*B59</f>
        <v>515.84109430621572</v>
      </c>
      <c r="C60" s="30">
        <f>C58*C59</f>
        <v>576.56707199999994</v>
      </c>
      <c r="D60" s="32">
        <f t="shared" si="5"/>
        <v>0.11772225664854807</v>
      </c>
    </row>
    <row r="61" spans="1:4">
      <c r="A61" s="29" t="s">
        <v>50</v>
      </c>
      <c r="B61" s="30">
        <f>B60*688</f>
        <v>354898.67288267642</v>
      </c>
      <c r="C61" s="30">
        <f>C60*688</f>
        <v>396678.14553599997</v>
      </c>
      <c r="D61" s="32">
        <f t="shared" si="5"/>
        <v>0.11772225664854807</v>
      </c>
    </row>
    <row r="62" spans="1:4">
      <c r="A62" s="29" t="s">
        <v>51</v>
      </c>
      <c r="B62" s="3">
        <v>2.48</v>
      </c>
      <c r="C62" s="3">
        <v>2.48</v>
      </c>
      <c r="D62" s="32"/>
    </row>
    <row r="63" spans="1:4">
      <c r="A63" s="29" t="s">
        <v>52</v>
      </c>
      <c r="B63" s="30">
        <f>B58*B62</f>
        <v>63019.010535931782</v>
      </c>
      <c r="C63" s="30">
        <f>C58*C62</f>
        <v>67447.468799999988</v>
      </c>
      <c r="D63" s="32">
        <f t="shared" si="5"/>
        <v>7.0271783488939699E-2</v>
      </c>
    </row>
    <row r="64" spans="1:4">
      <c r="A64" s="29" t="s">
        <v>53</v>
      </c>
      <c r="B64" s="35">
        <f>B61/B63</f>
        <v>5.6316129032258058</v>
      </c>
      <c r="C64" s="35">
        <f>C61/C63</f>
        <v>5.8812903225806457</v>
      </c>
      <c r="D64" s="32">
        <f t="shared" si="5"/>
        <v>4.4334975369458407E-2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zhuzhaohui</dc:creator>
  <cp:lastModifiedBy>Zhaohui Zhu</cp:lastModifiedBy>
  <dcterms:created xsi:type="dcterms:W3CDTF">2024-04-21T23:28:00Z</dcterms:created>
  <dcterms:modified xsi:type="dcterms:W3CDTF">2024-12-13T10:56:19Z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18365550322B9D77396D2D66DC21C4CE_43</vt:lpwstr>
  </property>
  <property fmtid="{D5CDD505-2E9C-101B-9397-08002B2CF9AE}" pid="3" name="KSOProductBuildVer">
    <vt:lpwstr>2052-6.5.2.8766</vt:lpwstr>
  </property>
</Properties>
</file>