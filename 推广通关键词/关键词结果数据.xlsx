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<sst xmlns="http://schemas.openxmlformats.org/spreadsheetml/2006/main" count="12" uniqueCount="12">
  <si>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r>
      <rPr>
        <b/>
        <sz val="11"/>
        <color rgb="FF000000"/>
        <rFont val="宋体"/>
        <charset val="134"/>
        <scheme val="minor"/>
      </rPr>
      <t>A组（自提）</t>
    </r>
  </si>
  <si>
    <r>
      <rPr>
        <b/>
        <sz val="11"/>
        <color rgb="FF000000"/>
        <rFont val="宋体"/>
        <charset val="134"/>
        <scheme val="minor"/>
      </rPr>
      <t>B组（高低消费）</t>
    </r>
  </si>
  <si>
    <r>
      <rPr>
        <b/>
        <sz val="11"/>
        <color rgb="FF000000"/>
        <rFont val="宋体"/>
        <charset val="134"/>
        <scheme val="minor"/>
      </rPr>
      <t>C组（对照）</t>
    </r>
  </si>
  <si>
    <r>
      <rPr>
        <b/>
        <sz val="11"/>
        <color rgb="FF1E366A"/>
        <rFont val="宋体"/>
        <charset val="134"/>
        <scheme val="minor"/>
      </rPr>
      <t>变化1</t>
    </r>
  </si>
  <si>
    <r>
      <rPr>
        <b/>
        <sz val="11"/>
        <color rgb="FF1E366A"/>
        <rFont val="宋体"/>
        <charset val="134"/>
        <scheme val="minor"/>
      </rPr>
      <t>变化2</t>
    </r>
  </si>
  <si>
    <r>
      <rPr>
        <sz val="11"/>
        <color rgb="FF000000"/>
        <rFont val="宋体"/>
        <charset val="134"/>
        <scheme val="minor"/>
      </rPr>
      <t>ctr</t>
    </r>
  </si>
  <si>
    <r>
      <rPr>
        <sz val="11"/>
        <color rgb="FF000000"/>
        <rFont val="宋体"/>
        <charset val="134"/>
        <scheme val="minor"/>
      </rPr>
      <t>商户使用占比</t>
    </r>
  </si>
  <si>
    <r>
      <rPr>
        <sz val="11"/>
        <color rgb="FF000000"/>
        <rFont val="宋体"/>
        <charset val="134"/>
        <scheme val="minor"/>
      </rPr>
      <t>广告订单</t>
    </r>
  </si>
  <si>
    <t>单订单GMV</t>
  </si>
  <si>
    <r>
      <rPr>
        <sz val="11"/>
        <color rgb="FF000000"/>
        <rFont val="宋体"/>
        <charset val="134"/>
        <scheme val="minor"/>
      </rPr>
      <t>广告GMV</t>
    </r>
  </si>
  <si>
    <r>
      <rPr>
        <sz val="11"/>
        <color rgb="FF000000"/>
        <rFont val="宋体"/>
        <charset val="134"/>
        <scheme val="minor"/>
      </rPr>
      <t>广告消耗</t>
    </r>
  </si>
  <si>
    <r>
      <rPr>
        <sz val="11"/>
        <color rgb="FF000000"/>
        <rFont val="宋体"/>
        <charset val="134"/>
        <scheme val="minor"/>
      </rPr>
      <t>ROI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</si>
</sst>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1E366A"/>
      <name val="宋体"/>
      <charset val="134"/>
      <scheme val="minor"/>
    </font>
    <font>
      <sz val="11"/>
      <color rgb="FF1E366A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0" fontId="0" fillId="0" borderId="0" xfId="3" applyNumberFormat="1">
      <alignment vertical="center"/>
    </xf>
    <xf numFmtId="0" fontId="3" fillId="3" borderId="2" xfId="0" applyFont="1" applyFill="1" applyBorder="1" applyAlignment="1">
      <alignment horizontal="center" vertical="center"/>
    </xf>
    <xf numFmtId="10" fontId="4" fillId="3" borderId="4" xfId="3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17"/>
  <sheetViews>
    <sheetView tabSelected="1" zoomScale="197" zoomScaleNormal="197" workbookViewId="0">
      <selection activeCell="B1" sqref="B1"/>
    </sheetView>
  </sheetViews>
  <sheetFormatPr defaultColWidth="9.23076923076923" defaultRowHeight="16.8"/>
  <cols>
    <col min="5" max="5" width="15.0769230769231" customWidth="1"/>
    <col min="6" max="6" width="14.2307692307692" customWidth="1"/>
    <col min="7" max="7" width="19" customWidth="1"/>
    <col min="8" max="8" width="13.9615384615385" customWidth="1"/>
    <col min="9" max="10" width="12.9230769230769"/>
  </cols>
  <sheetData>
    <row r="1" ht="17.75" spans="5:10">
      <c r="E1" s="1"/>
      <c r="F1" s="2" t="s">
        <v>0</v>
      </c>
      <c r="G1" s="2" t="s">
        <v>1</v>
      </c>
      <c r="H1" s="2" t="s">
        <v>2</v>
      </c>
      <c r="I1" s="10" t="s">
        <v>3</v>
      </c>
      <c r="J1" s="10" t="s">
        <v>4</v>
      </c>
    </row>
    <row r="2" ht="17.75" spans="5:10">
      <c r="E2" s="3" t="s">
        <v>5</v>
      </c>
      <c r="F2" s="4">
        <v>0.0465</v>
      </c>
      <c r="G2" s="4">
        <v>0.0409</v>
      </c>
      <c r="H2" s="4">
        <v>0.0411</v>
      </c>
      <c r="I2" s="11">
        <f>F2/H2-1</f>
        <v>0.131386861313869</v>
      </c>
      <c r="J2" s="11">
        <f>G2/H2-1</f>
        <v>-0.00486618004866191</v>
      </c>
    </row>
    <row r="3" ht="17.75" spans="5:10">
      <c r="E3" s="3" t="s">
        <v>6</v>
      </c>
      <c r="F3" s="5">
        <v>0.46</v>
      </c>
      <c r="G3" s="5">
        <v>0.98</v>
      </c>
      <c r="H3" s="5">
        <v>0.98</v>
      </c>
      <c r="I3" s="11"/>
      <c r="J3" s="11"/>
    </row>
    <row r="4" ht="17.75" spans="5:10">
      <c r="E4" s="3" t="s">
        <v>7</v>
      </c>
      <c r="F4" s="6">
        <v>65400</v>
      </c>
      <c r="G4" s="6">
        <v>131000</v>
      </c>
      <c r="H4" s="6">
        <v>125000</v>
      </c>
      <c r="I4" s="11">
        <f>(F4*(H3/F3))/H4-1</f>
        <v>0.114643478260869</v>
      </c>
      <c r="J4" s="11">
        <f>G4/H4-1</f>
        <v>0.048</v>
      </c>
    </row>
    <row r="5" spans="5:10">
      <c r="E5" s="3" t="s">
        <v>8</v>
      </c>
      <c r="F5" s="7">
        <f>F6/F4</f>
        <v>153.211009174312</v>
      </c>
      <c r="G5" s="7">
        <f>G6/G4</f>
        <v>161.603053435115</v>
      </c>
      <c r="H5" s="7">
        <f>H6/H4</f>
        <v>158.8</v>
      </c>
      <c r="I5" s="11">
        <f>F5/$H$5-1</f>
        <v>-0.0351951563330484</v>
      </c>
      <c r="J5" s="11">
        <f>G5/$H$5-1</f>
        <v>0.0176514699944237</v>
      </c>
    </row>
    <row r="6" ht="17.75" spans="5:10">
      <c r="E6" s="3" t="s">
        <v>9</v>
      </c>
      <c r="F6" s="6">
        <v>10020000</v>
      </c>
      <c r="G6" s="6">
        <v>21170000</v>
      </c>
      <c r="H6" s="6">
        <v>19850000</v>
      </c>
      <c r="I6" s="11">
        <f>(F6*($H$3/$F$3))/$H$6-1</f>
        <v>0.0754134267878654</v>
      </c>
      <c r="J6" s="11">
        <f>G6/$H$6-1</f>
        <v>0.0664987405541562</v>
      </c>
    </row>
    <row r="7" ht="17.75" spans="5:10">
      <c r="E7" s="3" t="s">
        <v>10</v>
      </c>
      <c r="F7" s="6">
        <v>2050000</v>
      </c>
      <c r="G7" s="8">
        <f>G6/G8</f>
        <v>4373966.94214876</v>
      </c>
      <c r="H7" s="8">
        <f>H6/H8</f>
        <v>4161425.57651992</v>
      </c>
      <c r="I7" s="11">
        <f>(F7*($H$3/$F$3))/$H$7-1</f>
        <v>0.0494940313218704</v>
      </c>
      <c r="J7" s="11">
        <f>G7/$H$7-1</f>
        <v>0.0510741719924226</v>
      </c>
    </row>
    <row r="8" ht="17.75" spans="5:10">
      <c r="E8" s="3" t="s">
        <v>11</v>
      </c>
      <c r="F8" s="7">
        <f>F6/F7</f>
        <v>4.88780487804878</v>
      </c>
      <c r="G8" s="6">
        <v>4.84</v>
      </c>
      <c r="H8" s="6">
        <v>4.77</v>
      </c>
      <c r="I8" s="11">
        <f>F8/H8-1</f>
        <v>0.0246970394232244</v>
      </c>
      <c r="J8" s="11">
        <f>G8/H8-1</f>
        <v>0.0146750524109016</v>
      </c>
    </row>
    <row r="10" spans="6:9">
      <c r="F10">
        <f>F6*G3/F3</f>
        <v>21346956.5217391</v>
      </c>
      <c r="G10">
        <f>G6</f>
        <v>21170000</v>
      </c>
      <c r="H10">
        <f>H6</f>
        <v>19850000</v>
      </c>
      <c r="I10" s="9">
        <f>(F10+G10)/(H10*2)-1</f>
        <v>0.0709560836710108</v>
      </c>
    </row>
    <row r="11" spans="6:9">
      <c r="F11">
        <f>F7*G3/F3</f>
        <v>4367391.30434783</v>
      </c>
      <c r="G11">
        <f>G7</f>
        <v>4373966.94214876</v>
      </c>
      <c r="H11">
        <f>H7</f>
        <v>4161425.57651992</v>
      </c>
      <c r="I11" s="9">
        <f>(F11+G11)/(H11*2)-1</f>
        <v>0.0502841016571467</v>
      </c>
    </row>
    <row r="13" spans="7:9">
      <c r="G13">
        <f>(F10+G10)/(F11+G11)</f>
        <v>4.86388445854845</v>
      </c>
      <c r="I13" s="9">
        <f>G13/H8-1</f>
        <v>0.0196822764252527</v>
      </c>
    </row>
    <row r="15" spans="7:7">
      <c r="G15" s="9"/>
    </row>
    <row r="16" spans="7:7">
      <c r="G16" s="9"/>
    </row>
    <row r="17" spans="7:7">
      <c r="G17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zhuzhaohui</dc:creator>
  <cp:lastModifiedBy>1，2—二溴乙烷</cp:lastModifiedBy>
  <dcterms:created xsi:type="dcterms:W3CDTF">2024-01-19T02:04:21Z</dcterms:created>
  <dcterms:modified xsi:type="dcterms:W3CDTF">2024-01-24T14:10:49Z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C13557FF341F7DFEA5D8A9654E97E232_41</vt:lpwstr>
  </property>
  <property fmtid="{D5CDD505-2E9C-101B-9397-08002B2CF9AE}" pid="3" name="KSOProductBuildVer">
    <vt:lpwstr>2052-6.4.0.8550</vt:lpwstr>
  </property>
</Properties>
</file>