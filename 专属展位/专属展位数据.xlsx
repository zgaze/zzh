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职计划/远程实习-萱轩/"/>
    </mc:Choice>
  </mc:AlternateContent>
  <xr:revisionPtr revIDLastSave="0" documentId="13_ncr:1_{A02608C4-A609-0A40-96EE-59D0AF6FF583}" xr6:coauthVersionLast="47" xr6:coauthVersionMax="47" xr10:uidLastSave="{00000000-0000-0000-0000-000000000000}"/>
  <bookViews>
    <workbookView xWindow="1060" yWindow="760" windowWidth="28100" windowHeight="17360" xr2:uid="{FF974D14-F5D5-3E48-B9F8-F0B6D86E2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30" i="1"/>
  <c r="B68" i="1"/>
  <c r="D68" i="1" s="1"/>
  <c r="D70" i="1"/>
  <c r="D71" i="1"/>
  <c r="D69" i="1"/>
  <c r="E51" i="1"/>
  <c r="F51" i="1"/>
  <c r="G51" i="1"/>
  <c r="E53" i="1"/>
  <c r="F53" i="1"/>
  <c r="G53" i="1"/>
  <c r="E31" i="1"/>
  <c r="F31" i="1"/>
  <c r="G31" i="1"/>
  <c r="E33" i="1"/>
  <c r="F33" i="1"/>
  <c r="G33" i="1"/>
  <c r="C17" i="1"/>
  <c r="C15" i="1"/>
  <c r="B14" i="1"/>
  <c r="G5" i="1"/>
  <c r="E5" i="1" s="1"/>
  <c r="G6" i="1"/>
  <c r="E6" i="1" s="1"/>
  <c r="G7" i="1"/>
  <c r="E7" i="1" s="1"/>
  <c r="G8" i="1"/>
  <c r="E8" i="1" s="1"/>
  <c r="G4" i="1"/>
  <c r="E4" i="1" s="1"/>
  <c r="F9" i="1"/>
  <c r="D9" i="1"/>
  <c r="C9" i="1"/>
  <c r="B20" i="1" l="1"/>
  <c r="B29" i="1"/>
  <c r="B66" i="1" s="1"/>
  <c r="B67" i="1" s="1"/>
  <c r="C14" i="1"/>
  <c r="B16" i="1"/>
  <c r="B18" i="1" s="1"/>
  <c r="B19" i="1" s="1"/>
  <c r="E9" i="1"/>
  <c r="G9" i="1"/>
  <c r="C30" i="1" l="1"/>
  <c r="B32" i="1"/>
  <c r="C29" i="1"/>
  <c r="C20" i="1"/>
  <c r="D20" i="1" s="1"/>
  <c r="C16" i="1"/>
  <c r="C18" i="1" s="1"/>
  <c r="C19" i="1" s="1"/>
  <c r="C21" i="1" s="1"/>
  <c r="B21" i="1"/>
  <c r="D30" i="1" l="1"/>
  <c r="C66" i="1"/>
  <c r="B72" i="1"/>
  <c r="B74" i="1"/>
  <c r="D29" i="1"/>
  <c r="E29" i="1"/>
  <c r="B36" i="1"/>
  <c r="B41" i="1" s="1"/>
  <c r="B34" i="1"/>
  <c r="B35" i="1" s="1"/>
  <c r="B40" i="1" s="1"/>
  <c r="B42" i="1" s="1"/>
  <c r="E30" i="1"/>
  <c r="C32" i="1"/>
  <c r="D21" i="1"/>
  <c r="C67" i="1" l="1"/>
  <c r="C74" i="1" s="1"/>
  <c r="D66" i="1"/>
  <c r="C72" i="1"/>
  <c r="D72" i="1" s="1"/>
  <c r="B73" i="1"/>
  <c r="B37" i="1"/>
  <c r="C50" i="1"/>
  <c r="B52" i="1"/>
  <c r="C36" i="1"/>
  <c r="C34" i="1"/>
  <c r="E32" i="1"/>
  <c r="F30" i="1"/>
  <c r="G30" i="1"/>
  <c r="D32" i="1"/>
  <c r="G29" i="1"/>
  <c r="F29" i="1"/>
  <c r="E36" i="1" l="1"/>
  <c r="B78" i="1"/>
  <c r="B56" i="1"/>
  <c r="B61" i="1" s="1"/>
  <c r="B54" i="1"/>
  <c r="B55" i="1" s="1"/>
  <c r="D50" i="1"/>
  <c r="I50" i="1"/>
  <c r="J50" i="1" s="1"/>
  <c r="C52" i="1"/>
  <c r="E50" i="1"/>
  <c r="B75" i="1"/>
  <c r="C73" i="1"/>
  <c r="D67" i="1"/>
  <c r="F32" i="1"/>
  <c r="G32" i="1"/>
  <c r="D34" i="1"/>
  <c r="D36" i="1"/>
  <c r="C39" i="1" s="1"/>
  <c r="C35" i="1"/>
  <c r="E34" i="1"/>
  <c r="C78" i="1" l="1"/>
  <c r="C41" i="1"/>
  <c r="D73" i="1"/>
  <c r="D78" i="1"/>
  <c r="B57" i="1"/>
  <c r="B60" i="1"/>
  <c r="B62" i="1" s="1"/>
  <c r="C75" i="1"/>
  <c r="D75" i="1" s="1"/>
  <c r="D74" i="1"/>
  <c r="E52" i="1"/>
  <c r="C54" i="1"/>
  <c r="C56" i="1"/>
  <c r="D52" i="1"/>
  <c r="F50" i="1"/>
  <c r="E35" i="1"/>
  <c r="C37" i="1"/>
  <c r="E37" i="1" s="1"/>
  <c r="F36" i="1"/>
  <c r="G36" i="1"/>
  <c r="G34" i="1"/>
  <c r="D35" i="1"/>
  <c r="C38" i="1" s="1"/>
  <c r="F34" i="1"/>
  <c r="C40" i="1" l="1"/>
  <c r="C42" i="1" s="1"/>
  <c r="D42" i="1" s="1"/>
  <c r="F52" i="1"/>
  <c r="D56" i="1"/>
  <c r="C61" i="1" s="1"/>
  <c r="D54" i="1"/>
  <c r="G52" i="1"/>
  <c r="E56" i="1"/>
  <c r="C59" i="1"/>
  <c r="C55" i="1"/>
  <c r="E54" i="1"/>
  <c r="D37" i="1"/>
  <c r="F35" i="1"/>
  <c r="G35" i="1"/>
  <c r="C57" i="1" l="1"/>
  <c r="E57" i="1" s="1"/>
  <c r="E55" i="1"/>
  <c r="F54" i="1"/>
  <c r="D55" i="1"/>
  <c r="C60" i="1" s="1"/>
  <c r="C62" i="1" s="1"/>
  <c r="D62" i="1" s="1"/>
  <c r="G54" i="1"/>
  <c r="G56" i="1"/>
  <c r="F56" i="1"/>
  <c r="F37" i="1"/>
  <c r="G37" i="1"/>
  <c r="D57" i="1" l="1"/>
  <c r="F55" i="1"/>
  <c r="G55" i="1"/>
  <c r="C58" i="1"/>
  <c r="F57" i="1" l="1"/>
  <c r="G57" i="1"/>
</calcChain>
</file>

<file path=xl/sharedStrings.xml><?xml version="1.0" encoding="utf-8"?>
<sst xmlns="http://schemas.openxmlformats.org/spreadsheetml/2006/main" count="70" uniqueCount="39">
  <si>
    <t>数据调研</t>
    <phoneticPr fontId="2" type="noConversion"/>
  </si>
  <si>
    <t>广告位</t>
    <phoneticPr fontId="2" type="noConversion"/>
  </si>
  <si>
    <t>ctr</t>
    <phoneticPr fontId="2" type="noConversion"/>
  </si>
  <si>
    <t>cvr</t>
    <phoneticPr fontId="2" type="noConversion"/>
  </si>
  <si>
    <t>ROI</t>
    <phoneticPr fontId="2" type="noConversion"/>
  </si>
  <si>
    <t>cost</t>
    <phoneticPr fontId="2" type="noConversion"/>
  </si>
  <si>
    <t>近一年周均增速</t>
    <phoneticPr fontId="2" type="noConversion"/>
  </si>
  <si>
    <t>ACP</t>
    <phoneticPr fontId="2" type="noConversion"/>
  </si>
  <si>
    <t>曝光</t>
    <phoneticPr fontId="2" type="noConversion"/>
  </si>
  <si>
    <t>数据预测</t>
    <phoneticPr fontId="2" type="noConversion"/>
  </si>
  <si>
    <t>点击uv</t>
    <phoneticPr fontId="2" type="noConversion"/>
  </si>
  <si>
    <t>订单量</t>
    <phoneticPr fontId="2" type="noConversion"/>
  </si>
  <si>
    <t>广告消耗</t>
    <phoneticPr fontId="2" type="noConversion"/>
  </si>
  <si>
    <t>GMV</t>
    <phoneticPr fontId="2" type="noConversion"/>
  </si>
  <si>
    <t>数据结果</t>
    <phoneticPr fontId="2" type="noConversion"/>
  </si>
  <si>
    <t>A组</t>
    <phoneticPr fontId="2" type="noConversion"/>
  </si>
  <si>
    <t>B组</t>
    <phoneticPr fontId="2" type="noConversion"/>
  </si>
  <si>
    <t>C组</t>
    <phoneticPr fontId="2" type="noConversion"/>
  </si>
  <si>
    <t>商户参与率</t>
    <phoneticPr fontId="2" type="noConversion"/>
  </si>
  <si>
    <t>一位全部广告收入</t>
    <phoneticPr fontId="2" type="noConversion"/>
  </si>
  <si>
    <t>品牌专区</t>
    <phoneticPr fontId="2" type="noConversion"/>
  </si>
  <si>
    <t>推广通</t>
    <phoneticPr fontId="2" type="noConversion"/>
  </si>
  <si>
    <t>预计增长</t>
    <phoneticPr fontId="2" type="noConversion"/>
  </si>
  <si>
    <t>整体曝光</t>
    <phoneticPr fontId="2" type="noConversion"/>
  </si>
  <si>
    <t>广告曝光</t>
    <phoneticPr fontId="2" type="noConversion"/>
  </si>
  <si>
    <t>整体ctr</t>
    <phoneticPr fontId="2" type="noConversion"/>
  </si>
  <si>
    <t>广告ctr</t>
    <phoneticPr fontId="2" type="noConversion"/>
  </si>
  <si>
    <t>整体cvr</t>
    <phoneticPr fontId="2" type="noConversion"/>
  </si>
  <si>
    <t>广告cvr</t>
    <phoneticPr fontId="2" type="noConversion"/>
  </si>
  <si>
    <t>整体GMV</t>
    <phoneticPr fontId="2" type="noConversion"/>
  </si>
  <si>
    <t>广告GMV</t>
    <phoneticPr fontId="2" type="noConversion"/>
  </si>
  <si>
    <t>变化</t>
    <phoneticPr fontId="2" type="noConversion"/>
  </si>
  <si>
    <t>将推广通流量拉平至38.3%</t>
    <phoneticPr fontId="2" type="noConversion"/>
  </si>
  <si>
    <t>AB增长</t>
    <phoneticPr fontId="2" type="noConversion"/>
  </si>
  <si>
    <t>AC增长</t>
    <phoneticPr fontId="2" type="noConversion"/>
  </si>
  <si>
    <t>BC增长</t>
    <phoneticPr fontId="2" type="noConversion"/>
  </si>
  <si>
    <t>一位品效广告商户对比</t>
    <phoneticPr fontId="2" type="noConversion"/>
  </si>
  <si>
    <t>说明推广通的ROI低，且占比更多一点</t>
    <phoneticPr fontId="2" type="noConversion"/>
  </si>
  <si>
    <t>2-20位全部流量状况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</si>
</sst>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0" fontId="0" fillId="0" borderId="0" xfId="0" applyNumberForma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  <xf numFmtId="10" fontId="0" fillId="0" borderId="1" xfId="1" applyNumberFormat="1" applyFont="1" applyBorder="1">
      <alignment vertical="center"/>
    </xf>
    <xf numFmtId="10" fontId="0" fillId="0" borderId="0" xfId="1" applyNumberFormat="1" applyFont="1">
      <alignment vertical="center"/>
    </xf>
    <xf numFmtId="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0AC4-D5FD-FA46-98A8-E76273B53C6D}">
  <dimension ref="A1:J78"/>
  <sheetViews>
    <sheetView tabSelected="1" topLeftCell="A25" workbookViewId="0">
      <selection activeCell="B50" sqref="B50:D56"/>
    </sheetView>
  </sheetViews>
  <sheetFormatPr baseColWidth="10" defaultRowHeight="16"/>
  <cols>
    <col min="4" max="4" width="13.33203125" bestFit="1" customWidth="1"/>
    <col min="7" max="7" width="11.5" bestFit="1" customWidth="1"/>
    <col min="8" max="8" width="16" customWidth="1"/>
    <col min="9" max="10" width="10.83203125" customWidth="1"/>
  </cols>
  <sheetData>
    <row r="1" spans="1:8">
      <c r="A1" t="s">
        <v>0</v>
      </c>
    </row>
    <row r="3" spans="1:8">
      <c r="A3" s="4" t="s">
        <v>1</v>
      </c>
      <c r="B3" s="4" t="s">
        <v>8</v>
      </c>
      <c r="C3" s="4" t="s">
        <v>2</v>
      </c>
      <c r="D3" s="4" t="s">
        <v>3</v>
      </c>
      <c r="E3" s="4" t="s">
        <v>4</v>
      </c>
      <c r="F3" s="4" t="s">
        <v>7</v>
      </c>
      <c r="G3" s="4" t="s">
        <v>5</v>
      </c>
      <c r="H3" s="4" t="s">
        <v>6</v>
      </c>
    </row>
    <row r="4" spans="1:8">
      <c r="A4" s="4">
        <v>1</v>
      </c>
      <c r="B4" s="4">
        <v>1005428</v>
      </c>
      <c r="C4" s="5">
        <v>0.13780000000000001</v>
      </c>
      <c r="D4" s="5">
        <v>0.1166</v>
      </c>
      <c r="E4" s="6">
        <f>B4*C4*D4*630/G4</f>
        <v>7.9758957654723108</v>
      </c>
      <c r="F4" s="4">
        <v>9.2100000000000009</v>
      </c>
      <c r="G4" s="6">
        <f>B4*C4*F4</f>
        <v>1276026.8810640001</v>
      </c>
      <c r="H4" s="5">
        <v>7.6E-3</v>
      </c>
    </row>
    <row r="5" spans="1:8">
      <c r="A5" s="4">
        <v>2</v>
      </c>
      <c r="B5" s="4">
        <v>982763</v>
      </c>
      <c r="C5" s="5">
        <v>0.1065</v>
      </c>
      <c r="D5" s="5">
        <v>8.6400000000000005E-2</v>
      </c>
      <c r="E5" s="6">
        <f t="shared" ref="E5:E8" si="0">B5*C5*D5*630/G5</f>
        <v>7.4057142857142866</v>
      </c>
      <c r="F5" s="4">
        <v>7.35</v>
      </c>
      <c r="G5" s="6">
        <f t="shared" ref="G5:G8" si="1">B5*C5*F5</f>
        <v>769282.30732499994</v>
      </c>
      <c r="H5" s="5">
        <v>1.23E-2</v>
      </c>
    </row>
    <row r="6" spans="1:8">
      <c r="A6" s="4">
        <v>3</v>
      </c>
      <c r="B6" s="4">
        <v>968364</v>
      </c>
      <c r="C6" s="5">
        <v>7.2400000000000006E-2</v>
      </c>
      <c r="D6" s="5">
        <v>5.7500000000000002E-2</v>
      </c>
      <c r="E6" s="6">
        <f t="shared" si="0"/>
        <v>6.9797687861271669</v>
      </c>
      <c r="F6" s="4">
        <v>5.19</v>
      </c>
      <c r="G6" s="6">
        <f t="shared" si="1"/>
        <v>363868.58318400005</v>
      </c>
      <c r="H6" s="5">
        <v>1.55E-2</v>
      </c>
    </row>
    <row r="7" spans="1:8">
      <c r="A7" s="4">
        <v>4</v>
      </c>
      <c r="B7" s="4">
        <v>936652</v>
      </c>
      <c r="C7" s="5">
        <v>5.4300000000000001E-2</v>
      </c>
      <c r="D7" s="5">
        <v>3.8899999999999997E-2</v>
      </c>
      <c r="E7" s="6">
        <f t="shared" si="0"/>
        <v>6.1730478589420645</v>
      </c>
      <c r="F7" s="4">
        <v>3.97</v>
      </c>
      <c r="G7" s="6">
        <f t="shared" si="1"/>
        <v>201915.00829200001</v>
      </c>
      <c r="H7" s="5">
        <v>1.47E-2</v>
      </c>
    </row>
    <row r="8" spans="1:8">
      <c r="A8" s="4">
        <v>5</v>
      </c>
      <c r="B8" s="4">
        <v>893762</v>
      </c>
      <c r="C8" s="5">
        <v>3.8899999999999997E-2</v>
      </c>
      <c r="D8" s="5">
        <v>3.0200000000000001E-2</v>
      </c>
      <c r="E8" s="6">
        <f t="shared" si="0"/>
        <v>5.6794029850746268</v>
      </c>
      <c r="F8" s="4">
        <v>3.35</v>
      </c>
      <c r="G8" s="6">
        <f t="shared" si="1"/>
        <v>116470.59502999998</v>
      </c>
      <c r="H8" s="5">
        <v>1.43E-2</v>
      </c>
    </row>
    <row r="9" spans="1:8">
      <c r="C9">
        <f>AVERAGE(C4:C8)</f>
        <v>8.1980000000000011E-2</v>
      </c>
      <c r="D9">
        <f t="shared" ref="D9:G9" si="2">AVERAGE(D4:D8)</f>
        <v>6.5920000000000006E-2</v>
      </c>
      <c r="E9" s="3">
        <f t="shared" si="2"/>
        <v>6.8427659362660904</v>
      </c>
      <c r="F9">
        <f t="shared" si="2"/>
        <v>5.8140000000000009</v>
      </c>
      <c r="G9" s="3">
        <f t="shared" si="2"/>
        <v>545512.674979</v>
      </c>
    </row>
    <row r="12" spans="1:8">
      <c r="A12" t="s">
        <v>9</v>
      </c>
    </row>
    <row r="13" spans="1:8">
      <c r="A13" s="4"/>
      <c r="B13" s="4" t="s">
        <v>20</v>
      </c>
      <c r="C13" s="4" t="s">
        <v>21</v>
      </c>
      <c r="D13" s="4" t="s">
        <v>22</v>
      </c>
    </row>
    <row r="14" spans="1:8">
      <c r="A14" s="4" t="s">
        <v>8</v>
      </c>
      <c r="B14" s="7">
        <f>B4/42%</f>
        <v>2393876.1904761908</v>
      </c>
      <c r="C14" s="7">
        <f>B14</f>
        <v>2393876.1904761908</v>
      </c>
      <c r="D14" s="4"/>
    </row>
    <row r="15" spans="1:8">
      <c r="A15" s="4" t="s">
        <v>2</v>
      </c>
      <c r="B15" s="5">
        <v>0.1346</v>
      </c>
      <c r="C15" s="5">
        <f>C4</f>
        <v>0.13780000000000001</v>
      </c>
      <c r="D15" s="4"/>
    </row>
    <row r="16" spans="1:8">
      <c r="A16" s="4" t="s">
        <v>10</v>
      </c>
      <c r="B16" s="7">
        <f>B14*B15</f>
        <v>322215.73523809528</v>
      </c>
      <c r="C16" s="7">
        <f>C14*C15</f>
        <v>329876.13904761913</v>
      </c>
      <c r="D16" s="4"/>
    </row>
    <row r="17" spans="1:7">
      <c r="A17" s="4" t="s">
        <v>3</v>
      </c>
      <c r="B17" s="5">
        <v>0.1231</v>
      </c>
      <c r="C17" s="5">
        <f>D4</f>
        <v>0.1166</v>
      </c>
      <c r="D17" s="4"/>
    </row>
    <row r="18" spans="1:7">
      <c r="A18" s="4" t="s">
        <v>11</v>
      </c>
      <c r="B18" s="7">
        <f>B16*B17</f>
        <v>39664.75700780953</v>
      </c>
      <c r="C18" s="7">
        <f>C16*C17</f>
        <v>38463.557812952386</v>
      </c>
      <c r="D18" s="4"/>
    </row>
    <row r="19" spans="1:7">
      <c r="A19" s="4" t="s">
        <v>13</v>
      </c>
      <c r="B19" s="7">
        <f>B18*639</f>
        <v>25345779.727990288</v>
      </c>
      <c r="C19" s="7">
        <f>C18*630</f>
        <v>24232041.422160003</v>
      </c>
      <c r="D19" s="4"/>
    </row>
    <row r="20" spans="1:7">
      <c r="A20" s="4" t="s">
        <v>12</v>
      </c>
      <c r="B20" s="7">
        <f>B14*B15*F4*1.064567</f>
        <v>3159216.3976461156</v>
      </c>
      <c r="C20" s="7">
        <f>C14*C15*F4</f>
        <v>3038159.2406285726</v>
      </c>
      <c r="D20" s="8">
        <f>B20/C20-1</f>
        <v>3.9845560232220523E-2</v>
      </c>
    </row>
    <row r="21" spans="1:7">
      <c r="A21" s="4" t="s">
        <v>4</v>
      </c>
      <c r="B21" s="6">
        <f>B19/B20</f>
        <v>8.0228058283297869</v>
      </c>
      <c r="C21" s="6">
        <f>C19/C20</f>
        <v>7.9758957654723108</v>
      </c>
      <c r="D21" s="8">
        <f>B21/C21-1</f>
        <v>5.8814789256085298E-3</v>
      </c>
    </row>
    <row r="25" spans="1:7">
      <c r="A25" t="s">
        <v>14</v>
      </c>
    </row>
    <row r="26" spans="1:7">
      <c r="A26" t="s">
        <v>18</v>
      </c>
      <c r="B26" s="1">
        <v>0.38300000000000001</v>
      </c>
    </row>
    <row r="27" spans="1:7">
      <c r="A27" t="s">
        <v>19</v>
      </c>
      <c r="B27" s="1"/>
      <c r="C27" t="s">
        <v>32</v>
      </c>
    </row>
    <row r="28" spans="1:7">
      <c r="A28" s="4"/>
      <c r="B28" s="4" t="s">
        <v>15</v>
      </c>
      <c r="C28" s="4" t="s">
        <v>16</v>
      </c>
      <c r="D28" s="4" t="s">
        <v>17</v>
      </c>
      <c r="E28" s="4" t="s">
        <v>33</v>
      </c>
      <c r="F28" s="4" t="s">
        <v>34</v>
      </c>
      <c r="G28" s="4" t="s">
        <v>35</v>
      </c>
    </row>
    <row r="29" spans="1:7">
      <c r="A29" s="4" t="s">
        <v>23</v>
      </c>
      <c r="B29" s="7">
        <f>B14*B26*10%</f>
        <v>91685.458095238122</v>
      </c>
      <c r="C29" s="7">
        <f>B29*(1-0.0026232)</f>
        <v>91444.948801562685</v>
      </c>
      <c r="D29" s="7">
        <f>C29*(1+0.0016232)</f>
        <v>91593.382242457388</v>
      </c>
      <c r="E29" s="8">
        <f>C29/B29-1</f>
        <v>-2.6232000000000477E-3</v>
      </c>
      <c r="F29" s="8">
        <f>D29/B29-1</f>
        <v>-1.0042579782399974E-3</v>
      </c>
      <c r="G29" s="8">
        <f>D29/C29-1</f>
        <v>1.6232000000000468E-3</v>
      </c>
    </row>
    <row r="30" spans="1:7">
      <c r="A30" s="4" t="s">
        <v>24</v>
      </c>
      <c r="B30" s="7">
        <f>B29*B26*1.2763</f>
        <v>44817.951513942775</v>
      </c>
      <c r="C30" s="7">
        <f>B30*0.99876521</f>
        <v>44762.610755592868</v>
      </c>
      <c r="D30" s="7">
        <f>C30*0.99876521</f>
        <v>44707.33833145797</v>
      </c>
      <c r="E30" s="8">
        <f t="shared" ref="E30:E37" si="3">C30/B30-1</f>
        <v>-1.2347900000001522E-3</v>
      </c>
      <c r="F30" s="8">
        <f>D30/B30-1</f>
        <v>-2.4680552936560129E-3</v>
      </c>
      <c r="G30" s="8">
        <f>D30/C30-1</f>
        <v>-1.2347900000000411E-3</v>
      </c>
    </row>
    <row r="31" spans="1:7">
      <c r="A31" s="4" t="s">
        <v>26</v>
      </c>
      <c r="B31" s="5">
        <v>0.13730000000000001</v>
      </c>
      <c r="C31" s="5">
        <v>0.13789999999999999</v>
      </c>
      <c r="D31" s="5">
        <v>0.14149999999999999</v>
      </c>
      <c r="E31" s="8">
        <f t="shared" si="3"/>
        <v>4.3699927166787056E-3</v>
      </c>
      <c r="F31" s="8">
        <f t="shared" ref="F31:F37" si="4">D31/B31-1</f>
        <v>3.0589949016751605E-2</v>
      </c>
      <c r="G31" s="8">
        <f t="shared" ref="G31:G37" si="5">D31/C31-1</f>
        <v>2.6105873821609782E-2</v>
      </c>
    </row>
    <row r="32" spans="1:7">
      <c r="A32" s="4" t="s">
        <v>10</v>
      </c>
      <c r="B32" s="7">
        <f>B30*B31</f>
        <v>6153.5047428643429</v>
      </c>
      <c r="C32" s="7">
        <f t="shared" ref="C32" si="6">C30*C31</f>
        <v>6172.7640231962559</v>
      </c>
      <c r="D32" s="7">
        <f>D30*D31</f>
        <v>6326.0883739013025</v>
      </c>
      <c r="E32" s="8">
        <f t="shared" si="3"/>
        <v>3.1298066933720392E-3</v>
      </c>
      <c r="F32" s="8">
        <f t="shared" si="4"/>
        <v>2.8046396037492149E-2</v>
      </c>
      <c r="G32" s="8">
        <f t="shared" si="5"/>
        <v>2.4838848549673775E-2</v>
      </c>
    </row>
    <row r="33" spans="1:9">
      <c r="A33" s="4" t="s">
        <v>3</v>
      </c>
      <c r="B33" s="5">
        <v>0.1168</v>
      </c>
      <c r="C33" s="5">
        <v>0.1201</v>
      </c>
      <c r="D33" s="5">
        <v>0.1216</v>
      </c>
      <c r="E33" s="8">
        <f t="shared" si="3"/>
        <v>2.8253424657534332E-2</v>
      </c>
      <c r="F33" s="8">
        <f t="shared" si="4"/>
        <v>4.1095890410958846E-2</v>
      </c>
      <c r="G33" s="8">
        <f t="shared" si="5"/>
        <v>1.2489592006661221E-2</v>
      </c>
    </row>
    <row r="34" spans="1:9">
      <c r="A34" s="4" t="s">
        <v>11</v>
      </c>
      <c r="B34" s="7">
        <f>B32*B33</f>
        <v>718.72935396655521</v>
      </c>
      <c r="C34" s="7">
        <f t="shared" ref="C34:D34" si="7">C32*C33</f>
        <v>741.34895918587029</v>
      </c>
      <c r="D34" s="7">
        <f t="shared" si="7"/>
        <v>769.25234626639838</v>
      </c>
      <c r="E34" s="8">
        <f t="shared" si="3"/>
        <v>3.1471659108510019E-2</v>
      </c>
      <c r="F34" s="8">
        <f t="shared" si="4"/>
        <v>7.0294878066430311E-2</v>
      </c>
      <c r="G34" s="8">
        <f t="shared" si="5"/>
        <v>3.7638667640635504E-2</v>
      </c>
    </row>
    <row r="35" spans="1:9">
      <c r="A35" s="4" t="s">
        <v>13</v>
      </c>
      <c r="B35" s="7">
        <f>B34*628</f>
        <v>451362.03429099667</v>
      </c>
      <c r="C35" s="7">
        <f t="shared" ref="C35:D35" si="8">C34*628</f>
        <v>465567.14636872656</v>
      </c>
      <c r="D35" s="7">
        <f t="shared" si="8"/>
        <v>483090.47345529817</v>
      </c>
      <c r="E35" s="8">
        <f t="shared" si="3"/>
        <v>3.1471659108510019E-2</v>
      </c>
      <c r="F35" s="8">
        <f t="shared" si="4"/>
        <v>7.0294878066430089E-2</v>
      </c>
      <c r="G35" s="8">
        <f t="shared" si="5"/>
        <v>3.7638667640635504E-2</v>
      </c>
    </row>
    <row r="36" spans="1:9">
      <c r="A36" s="4" t="s">
        <v>12</v>
      </c>
      <c r="B36" s="7">
        <f>B32*9.12</f>
        <v>56119.963254922804</v>
      </c>
      <c r="C36" s="7">
        <f>C32*9.42</f>
        <v>58147.43709850873</v>
      </c>
      <c r="D36" s="7">
        <f>D32*9.42</f>
        <v>59591.752482150267</v>
      </c>
      <c r="E36" s="8">
        <f t="shared" si="3"/>
        <v>3.6127497703022371E-2</v>
      </c>
      <c r="F36" s="8">
        <f t="shared" si="4"/>
        <v>6.1863711696620083E-2</v>
      </c>
      <c r="G36" s="8">
        <f t="shared" si="5"/>
        <v>2.4838848549673775E-2</v>
      </c>
    </row>
    <row r="37" spans="1:9">
      <c r="A37" s="4" t="s">
        <v>4</v>
      </c>
      <c r="B37" s="6">
        <f>B35/B36</f>
        <v>8.0428070175438595</v>
      </c>
      <c r="C37" s="6">
        <f t="shared" ref="C37:D37" si="9">C35/C36</f>
        <v>8.0066666666666659</v>
      </c>
      <c r="D37" s="6">
        <f t="shared" si="9"/>
        <v>8.1066666666666674</v>
      </c>
      <c r="E37" s="8">
        <f t="shared" si="3"/>
        <v>-4.4934996946166539E-3</v>
      </c>
      <c r="F37" s="8">
        <f t="shared" si="4"/>
        <v>7.9399703341769268E-3</v>
      </c>
      <c r="G37" s="8">
        <f t="shared" si="5"/>
        <v>1.2489592006661221E-2</v>
      </c>
      <c r="I37" t="s">
        <v>37</v>
      </c>
    </row>
    <row r="38" spans="1:9">
      <c r="C38" s="9">
        <f>(C35+D35)/(B35*2)-1</f>
        <v>5.0883268587470054E-2</v>
      </c>
    </row>
    <row r="39" spans="1:9">
      <c r="C39" s="9">
        <f>(C36+D36)/(B36*2)-1</f>
        <v>4.8995604699821449E-2</v>
      </c>
    </row>
    <row r="40" spans="1:9">
      <c r="B40">
        <f>B35*2</f>
        <v>902724.06858199334</v>
      </c>
      <c r="C40" s="10">
        <f>C35+D35</f>
        <v>948657.61982402473</v>
      </c>
    </row>
    <row r="41" spans="1:9">
      <c r="B41">
        <f>B36*2</f>
        <v>112239.92650984561</v>
      </c>
      <c r="C41" s="10">
        <f>C36+D36</f>
        <v>117739.189580659</v>
      </c>
    </row>
    <row r="42" spans="1:9">
      <c r="B42">
        <f>B40/B41</f>
        <v>8.0428070175438595</v>
      </c>
      <c r="C42">
        <f>C40/C41</f>
        <v>8.0572800203804071</v>
      </c>
      <c r="D42" s="9">
        <f>C42/B42-1</f>
        <v>1.7994964699485916E-3</v>
      </c>
    </row>
    <row r="48" spans="1:9">
      <c r="A48" t="s">
        <v>36</v>
      </c>
    </row>
    <row r="49" spans="1:10">
      <c r="A49" s="4"/>
      <c r="B49" s="4" t="s">
        <v>15</v>
      </c>
      <c r="C49" s="4" t="s">
        <v>16</v>
      </c>
      <c r="D49" s="4" t="s">
        <v>17</v>
      </c>
      <c r="E49" s="4" t="s">
        <v>33</v>
      </c>
      <c r="F49" s="4" t="s">
        <v>34</v>
      </c>
      <c r="G49" s="4" t="s">
        <v>35</v>
      </c>
    </row>
    <row r="50" spans="1:10">
      <c r="A50" s="4" t="s">
        <v>24</v>
      </c>
      <c r="B50" s="7">
        <f>C30*1.01876*52.12%</f>
        <v>23767.948642151292</v>
      </c>
      <c r="C50" s="7">
        <f>B50*1.00186521</f>
        <v>23812.280857638121</v>
      </c>
      <c r="D50" s="7">
        <f>C50*0.99976521</f>
        <v>23806.689972215554</v>
      </c>
      <c r="E50" s="8">
        <f>C50/B50-1</f>
        <v>1.8652100000000615E-3</v>
      </c>
      <c r="F50" s="8">
        <f>D50/B50-1</f>
        <v>1.6299820673439935E-3</v>
      </c>
      <c r="G50" s="8"/>
      <c r="I50">
        <f>C50/B14</f>
        <v>9.9471647499453069E-3</v>
      </c>
      <c r="J50">
        <f>I50/B26</f>
        <v>2.5971709529883306E-2</v>
      </c>
    </row>
    <row r="51" spans="1:10">
      <c r="A51" s="4" t="s">
        <v>26</v>
      </c>
      <c r="B51" s="5">
        <v>0.13730000000000001</v>
      </c>
      <c r="C51" s="5">
        <v>0.1368</v>
      </c>
      <c r="D51" s="5">
        <v>0.1409</v>
      </c>
      <c r="E51" s="8">
        <f t="shared" ref="E51:E57" si="10">C51/B51-1</f>
        <v>-3.6416605972323657E-3</v>
      </c>
      <c r="F51" s="8">
        <f t="shared" ref="F51:F57" si="11">D51/B51-1</f>
        <v>2.6219956300072678E-2</v>
      </c>
      <c r="G51" s="8">
        <f t="shared" ref="G51:G57" si="12">D51/C51-1</f>
        <v>2.9970760233918092E-2</v>
      </c>
    </row>
    <row r="52" spans="1:10">
      <c r="A52" s="4" t="s">
        <v>10</v>
      </c>
      <c r="B52" s="7">
        <f>B50*B51</f>
        <v>3263.3393485673723</v>
      </c>
      <c r="C52" s="7">
        <f t="shared" ref="C52" si="13">C50*C51</f>
        <v>3257.520021324895</v>
      </c>
      <c r="D52" s="7">
        <f>D50*D51</f>
        <v>3354.3626170851717</v>
      </c>
      <c r="E52" s="8">
        <f t="shared" si="10"/>
        <v>-1.783243058994799E-3</v>
      </c>
      <c r="F52" s="8">
        <f t="shared" si="11"/>
        <v>2.789267642599258E-2</v>
      </c>
      <c r="G52" s="8">
        <f t="shared" si="12"/>
        <v>2.9728933399122637E-2</v>
      </c>
    </row>
    <row r="53" spans="1:10">
      <c r="A53" s="4" t="s">
        <v>3</v>
      </c>
      <c r="B53" s="5">
        <v>0.1168</v>
      </c>
      <c r="C53" s="5">
        <v>0.12089999999999999</v>
      </c>
      <c r="D53" s="5">
        <v>0.1226</v>
      </c>
      <c r="E53" s="8">
        <f t="shared" si="10"/>
        <v>3.5102739726027288E-2</v>
      </c>
      <c r="F53" s="8">
        <f t="shared" si="11"/>
        <v>4.9657534246575263E-2</v>
      </c>
      <c r="G53" s="8">
        <f t="shared" si="12"/>
        <v>1.4061207609594728E-2</v>
      </c>
    </row>
    <row r="54" spans="1:10">
      <c r="A54" s="4" t="s">
        <v>11</v>
      </c>
      <c r="B54" s="7">
        <f>B52*B53</f>
        <v>381.15803591266911</v>
      </c>
      <c r="C54" s="7">
        <f t="shared" ref="C54" si="14">C52*C53</f>
        <v>393.83417057817979</v>
      </c>
      <c r="D54" s="7">
        <f t="shared" ref="D54" si="15">D52*D53</f>
        <v>411.24485685464202</v>
      </c>
      <c r="E54" s="8">
        <f t="shared" si="10"/>
        <v>3.3256899950064422E-2</v>
      </c>
      <c r="F54" s="8">
        <f t="shared" si="11"/>
        <v>7.8935292207420238E-2</v>
      </c>
      <c r="G54" s="8">
        <f t="shared" si="12"/>
        <v>4.4208165713254255E-2</v>
      </c>
    </row>
    <row r="55" spans="1:10">
      <c r="A55" s="4" t="s">
        <v>13</v>
      </c>
      <c r="B55" s="7">
        <f>B54*628</f>
        <v>239367.2465531562</v>
      </c>
      <c r="C55" s="7">
        <f t="shared" ref="C55" si="16">C54*628</f>
        <v>247327.85912309692</v>
      </c>
      <c r="D55" s="7">
        <f t="shared" ref="D55" si="17">D54*628</f>
        <v>258261.77010471519</v>
      </c>
      <c r="E55" s="8">
        <f t="shared" si="10"/>
        <v>3.3256899950064422E-2</v>
      </c>
      <c r="F55" s="8">
        <f t="shared" si="11"/>
        <v>7.8935292207420238E-2</v>
      </c>
      <c r="G55" s="8">
        <f t="shared" si="12"/>
        <v>4.4208165713254255E-2</v>
      </c>
    </row>
    <row r="56" spans="1:10">
      <c r="A56" s="4" t="s">
        <v>12</v>
      </c>
      <c r="B56" s="7">
        <f>B52*9.12</f>
        <v>29761.654858934435</v>
      </c>
      <c r="C56" s="7">
        <f>C52*9.42</f>
        <v>30685.83860088051</v>
      </c>
      <c r="D56" s="7">
        <f>D52*9.42</f>
        <v>31598.095852942319</v>
      </c>
      <c r="E56" s="8">
        <f t="shared" si="10"/>
        <v>3.105283447195939E-2</v>
      </c>
      <c r="F56" s="8">
        <f t="shared" si="11"/>
        <v>6.1704935518952952E-2</v>
      </c>
      <c r="G56" s="8">
        <f t="shared" si="12"/>
        <v>2.9728933399122859E-2</v>
      </c>
    </row>
    <row r="57" spans="1:10">
      <c r="A57" s="4" t="s">
        <v>4</v>
      </c>
      <c r="B57" s="6">
        <f>B55/B56</f>
        <v>8.0428070175438613</v>
      </c>
      <c r="C57" s="6">
        <f t="shared" ref="C57" si="18">C55/C56</f>
        <v>8.06</v>
      </c>
      <c r="D57" s="6">
        <f t="shared" ref="D57" si="19">D55/D56</f>
        <v>8.173333333333332</v>
      </c>
      <c r="E57" s="8">
        <f t="shared" si="10"/>
        <v>2.1376843207396856E-3</v>
      </c>
      <c r="F57" s="8">
        <f t="shared" si="11"/>
        <v>1.6228950353371907E-2</v>
      </c>
      <c r="G57" s="8">
        <f t="shared" si="12"/>
        <v>1.4061207609594506E-2</v>
      </c>
    </row>
    <row r="58" spans="1:10">
      <c r="C58" s="9">
        <f>(C55+D55)/(B55*2)-1</f>
        <v>5.6096096078742219E-2</v>
      </c>
    </row>
    <row r="59" spans="1:10">
      <c r="C59" s="9">
        <f>(C56+D56)/(B56*2)-1</f>
        <v>4.6378884995456282E-2</v>
      </c>
    </row>
    <row r="60" spans="1:10">
      <c r="B60">
        <f>B55*2</f>
        <v>478734.49310631241</v>
      </c>
      <c r="C60" s="10">
        <f>C55+D55</f>
        <v>505589.62922781211</v>
      </c>
    </row>
    <row r="61" spans="1:10">
      <c r="B61">
        <f>B56*2</f>
        <v>59523.309717868869</v>
      </c>
      <c r="C61" s="10">
        <f>C56+D56</f>
        <v>62283.934453822832</v>
      </c>
    </row>
    <row r="62" spans="1:10">
      <c r="B62">
        <f>B60/B61</f>
        <v>8.0428070175438613</v>
      </c>
      <c r="C62">
        <f>C60/C61</f>
        <v>8.1174966491985998</v>
      </c>
      <c r="D62" s="9">
        <f>C62/B62-1</f>
        <v>9.2865129664079227E-3</v>
      </c>
    </row>
    <row r="64" spans="1:10">
      <c r="A64" t="s">
        <v>38</v>
      </c>
    </row>
    <row r="65" spans="1:4">
      <c r="A65" s="4"/>
      <c r="B65" s="4" t="s">
        <v>16</v>
      </c>
      <c r="C65" s="4" t="s">
        <v>17</v>
      </c>
      <c r="D65" s="4" t="s">
        <v>31</v>
      </c>
    </row>
    <row r="66" spans="1:4">
      <c r="A66" s="4" t="s">
        <v>23</v>
      </c>
      <c r="B66" s="7">
        <f>B29*12.6597</f>
        <v>1160710.3938482862</v>
      </c>
      <c r="C66" s="7">
        <f>B66*0.995776</f>
        <v>1155807.553144671</v>
      </c>
      <c r="D66" s="8">
        <f>C66/B66-1</f>
        <v>-4.2240000000000055E-3</v>
      </c>
    </row>
    <row r="67" spans="1:4">
      <c r="A67" s="4" t="s">
        <v>24</v>
      </c>
      <c r="B67" s="7">
        <f>B66*41.36%</f>
        <v>480069.81889565114</v>
      </c>
      <c r="C67" s="7">
        <f>C66*42.76%*1.001376</f>
        <v>494903.36099884246</v>
      </c>
      <c r="D67" s="8">
        <f>C67/B67-1</f>
        <v>3.0898718310004014E-2</v>
      </c>
    </row>
    <row r="68" spans="1:4">
      <c r="A68" s="4" t="s">
        <v>25</v>
      </c>
      <c r="B68" s="8">
        <f>6.95%</f>
        <v>6.9500000000000006E-2</v>
      </c>
      <c r="C68" s="5">
        <v>6.8900000000000003E-2</v>
      </c>
      <c r="D68" s="8">
        <f t="shared" ref="D68:D75" si="20">C68/B68-1</f>
        <v>-8.6330935251799357E-3</v>
      </c>
    </row>
    <row r="69" spans="1:4">
      <c r="A69" s="4" t="s">
        <v>26</v>
      </c>
      <c r="B69" s="5">
        <v>7.17E-2</v>
      </c>
      <c r="C69" s="5">
        <v>7.1800000000000003E-2</v>
      </c>
      <c r="D69" s="8">
        <f t="shared" si="20"/>
        <v>1.3947001394700731E-3</v>
      </c>
    </row>
    <row r="70" spans="1:4">
      <c r="A70" s="4" t="s">
        <v>27</v>
      </c>
      <c r="B70" s="5">
        <v>5.7700000000000001E-2</v>
      </c>
      <c r="C70" s="5">
        <v>5.79E-2</v>
      </c>
      <c r="D70" s="8">
        <f t="shared" si="20"/>
        <v>3.4662045060658286E-3</v>
      </c>
    </row>
    <row r="71" spans="1:4">
      <c r="A71" s="4" t="s">
        <v>28</v>
      </c>
      <c r="B71" s="5">
        <v>5.7599999999999998E-2</v>
      </c>
      <c r="C71" s="5">
        <v>5.7700000000000001E-2</v>
      </c>
      <c r="D71" s="8">
        <f t="shared" si="20"/>
        <v>1.7361111111111605E-3</v>
      </c>
    </row>
    <row r="72" spans="1:4">
      <c r="A72" s="4" t="s">
        <v>29</v>
      </c>
      <c r="B72" s="7">
        <f>B66*B68*B70*602</f>
        <v>2802082.9171062042</v>
      </c>
      <c r="C72" s="7">
        <f>C66*C68*C70*602</f>
        <v>2775746.5271610115</v>
      </c>
      <c r="D72" s="8">
        <f t="shared" si="20"/>
        <v>-9.3988617483137249E-3</v>
      </c>
    </row>
    <row r="73" spans="1:4">
      <c r="A73" s="4" t="s">
        <v>30</v>
      </c>
      <c r="B73" s="7">
        <f>B67*B69*B71*593</f>
        <v>1175711.4182469419</v>
      </c>
      <c r="C73" s="7">
        <f>C67*C69*C71*593</f>
        <v>1215836.9955215654</v>
      </c>
      <c r="D73" s="8">
        <f t="shared" si="20"/>
        <v>3.4128763786655414E-2</v>
      </c>
    </row>
    <row r="74" spans="1:4">
      <c r="A74" s="4" t="s">
        <v>12</v>
      </c>
      <c r="B74" s="7">
        <f>B67*B69*5.29</f>
        <v>182087.1218183882</v>
      </c>
      <c r="C74" s="7">
        <f>C67*C69*5.29</f>
        <v>187975.18438130236</v>
      </c>
      <c r="D74" s="8">
        <f t="shared" si="20"/>
        <v>3.2336512896210534E-2</v>
      </c>
    </row>
    <row r="75" spans="1:4">
      <c r="A75" s="4" t="s">
        <v>4</v>
      </c>
      <c r="B75" s="6">
        <f>B73/B74</f>
        <v>6.456862003780719</v>
      </c>
      <c r="C75" s="6">
        <f>C73/C74</f>
        <v>6.4680718336483949</v>
      </c>
      <c r="D75" s="8">
        <f t="shared" si="20"/>
        <v>1.7361111111113825E-3</v>
      </c>
    </row>
    <row r="78" spans="1:4">
      <c r="B78" s="2">
        <f>B74+C36</f>
        <v>240234.55891689693</v>
      </c>
      <c r="C78" s="2">
        <f>C74+D36</f>
        <v>247566.93686345263</v>
      </c>
      <c r="D78" s="9">
        <f>C78/B78-1</f>
        <v>3.0521744996281575E-2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2024-12-11T18:05:36Z</dcterms:created>
  <dcterms:modified xsi:type="dcterms:W3CDTF">2024-12-19T04:48:16Z</dcterms:modified>
</cp:coreProperties>
</file>