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aohui/Desktop/zjhxx/远程实习-萱轩/"/>
    </mc:Choice>
  </mc:AlternateContent>
  <xr:revisionPtr revIDLastSave="0" documentId="8_{A581B40F-6DDD-CC4C-A106-AE9D439646F9}" xr6:coauthVersionLast="47" xr6:coauthVersionMax="47" xr10:uidLastSave="{00000000-0000-0000-0000-000000000000}"/>
  <bookViews>
    <workbookView xWindow="1040" yWindow="860" windowWidth="28100" windowHeight="16980" xr2:uid="{E62692A2-BDC5-6F4E-9BAD-ED489A378F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1" l="1"/>
  <c r="L48" i="1"/>
  <c r="K48" i="1"/>
  <c r="J48" i="1"/>
  <c r="H51" i="1"/>
  <c r="G51" i="1"/>
  <c r="F51" i="1"/>
  <c r="G49" i="1"/>
  <c r="H49" i="1"/>
  <c r="F49" i="1"/>
  <c r="E48" i="1"/>
  <c r="D48" i="1"/>
  <c r="H52" i="1"/>
  <c r="F50" i="1"/>
  <c r="F52" i="1"/>
  <c r="F53" i="1"/>
  <c r="G48" i="1"/>
  <c r="H48" i="1"/>
  <c r="F48" i="1"/>
  <c r="C48" i="1"/>
  <c r="C50" i="1" s="1"/>
  <c r="C52" i="1" s="1"/>
  <c r="C61" i="1" s="1"/>
  <c r="C62" i="1" s="1"/>
  <c r="C63" i="1" s="1"/>
  <c r="C65" i="1" s="1"/>
  <c r="D55" i="1"/>
  <c r="E55" i="1"/>
  <c r="C55" i="1"/>
  <c r="E53" i="1"/>
  <c r="E54" i="1" s="1"/>
  <c r="B53" i="1"/>
  <c r="B63" i="1"/>
  <c r="B61" i="1"/>
  <c r="B62" i="1"/>
  <c r="B50" i="1"/>
  <c r="B52" i="1" s="1"/>
  <c r="D50" i="1"/>
  <c r="D52" i="1" s="1"/>
  <c r="D61" i="1" s="1"/>
  <c r="D62" i="1" s="1"/>
  <c r="E50" i="1"/>
  <c r="E52" i="1" s="1"/>
  <c r="E61" i="1" s="1"/>
  <c r="E62" i="1" s="1"/>
  <c r="H53" i="1" l="1"/>
  <c r="H50" i="1"/>
  <c r="G52" i="1"/>
  <c r="G50" i="1"/>
  <c r="D53" i="1"/>
  <c r="C53" i="1"/>
  <c r="C54" i="1" s="1"/>
  <c r="D54" i="1" l="1"/>
  <c r="G53" i="1"/>
</calcChain>
</file>

<file path=xl/sharedStrings.xml><?xml version="1.0" encoding="utf-8"?>
<sst xmlns="http://schemas.openxmlformats.org/spreadsheetml/2006/main" count="99" uniqueCount="96">
  <si>
    <t>城市等级</t>
  </si>
  <si>
    <t>商户广告投放渗透率（近30天有投放）</t>
  </si>
  <si>
    <t>到餐商户总数占比</t>
  </si>
  <si>
    <t>渗透率差值 vs 一线城市</t>
  </si>
  <si>
    <t>一线城市</t>
  </si>
  <si>
    <t>-</t>
  </si>
  <si>
    <t>新一线城市</t>
  </si>
  <si>
    <t>-5.3pp</t>
  </si>
  <si>
    <t>二线城市</t>
  </si>
  <si>
    <t>-11.7pp</t>
  </si>
  <si>
    <t>三线城市</t>
  </si>
  <si>
    <t>-23.1pp</t>
  </si>
  <si>
    <t>四线及以下城市</t>
  </si>
  <si>
    <t>-29.8pp</t>
  </si>
  <si>
    <t>指标</t>
  </si>
  <si>
    <t>一线/新一线</t>
  </si>
  <si>
    <t>三线及以下</t>
  </si>
  <si>
    <t>单商户月均广告成交单量</t>
  </si>
  <si>
    <t>曝光位类型</t>
  </si>
  <si>
    <t>日均曝光UV</t>
  </si>
  <si>
    <t>当前填充率</t>
  </si>
  <si>
    <t>可释放给CPS的空间</t>
  </si>
  <si>
    <t>feed流尾部</t>
  </si>
  <si>
    <t>1.3亿</t>
  </si>
  <si>
    <t>30%-40%</t>
  </si>
  <si>
    <t>夜宵时段slot位</t>
  </si>
  <si>
    <t>8900万</t>
  </si>
  <si>
    <t>35%-50%</t>
  </si>
  <si>
    <t>冷门类目页尾部</t>
  </si>
  <si>
    <t>6200万</t>
  </si>
  <si>
    <t>40%-50%</t>
  </si>
  <si>
    <t>冷启商户搜索兜底位</t>
  </si>
  <si>
    <t>4800万</t>
  </si>
  <si>
    <t>50%以上</t>
  </si>
  <si>
    <t>佣金率档位</t>
  </si>
  <si>
    <t>eCPM计算公式</t>
  </si>
  <si>
    <t>eCPM值（单位：元/千次曝光）</t>
  </si>
  <si>
    <r>
      <t xml:space="preserve">78 × 5% × 12% × 5% = </t>
    </r>
    <r>
      <rPr>
        <b/>
        <sz val="12"/>
        <color theme="1"/>
        <rFont val="等线"/>
        <family val="4"/>
        <charset val="134"/>
        <scheme val="minor"/>
      </rPr>
      <t>0.234</t>
    </r>
  </si>
  <si>
    <r>
      <t xml:space="preserve">78 × 5% × 12% × 10% = </t>
    </r>
    <r>
      <rPr>
        <b/>
        <sz val="12"/>
        <color theme="1"/>
        <rFont val="等线"/>
        <family val="4"/>
        <charset val="134"/>
        <scheme val="minor"/>
      </rPr>
      <t>0.468</t>
    </r>
  </si>
  <si>
    <r>
      <t xml:space="preserve">78 × 5% × 12% × 20% = </t>
    </r>
    <r>
      <rPr>
        <b/>
        <sz val="12"/>
        <color theme="1"/>
        <rFont val="等线"/>
        <family val="4"/>
        <charset val="134"/>
        <scheme val="minor"/>
      </rPr>
      <t>0.936</t>
    </r>
  </si>
  <si>
    <t>符号</t>
  </si>
  <si>
    <t>含义</t>
  </si>
  <si>
    <t>N</t>
  </si>
  <si>
    <t>当前商户今日订单数（投放自然+广告）</t>
  </si>
  <si>
    <t>T</t>
  </si>
  <si>
    <t>扶持目标单量（如 10 单）</t>
  </si>
  <si>
    <t>K</t>
  </si>
  <si>
    <t>容忍的超转化区间（如 10 单）</t>
  </si>
  <si>
    <t>λ₁</t>
  </si>
  <si>
    <t>扶持提升系数（如 0.3）</t>
  </si>
  <si>
    <t>λ₂</t>
  </si>
  <si>
    <t>回收衰减系数，满足 λ₂ = 1/K（线性递减）</t>
  </si>
  <si>
    <t>平均广告 ROI（CPC）</t>
  </si>
  <si>
    <t>平均订单单价（元）</t>
  </si>
  <si>
    <t>单商户月均广告支出（元）</t>
  </si>
  <si>
    <t>自然 CTR</t>
  </si>
  <si>
    <t>自然 CVR</t>
  </si>
  <si>
    <t>4.5~5.0</t>
  </si>
  <si>
    <t>4.0~4.5</t>
  </si>
  <si>
    <t>58~65</t>
  </si>
  <si>
    <t>72~78</t>
  </si>
  <si>
    <t>1200~1500</t>
  </si>
  <si>
    <t>1000~1200</t>
  </si>
  <si>
    <t>160~200 单</t>
  </si>
  <si>
    <t>180~210 单</t>
  </si>
  <si>
    <t>3.1~3.5%</t>
  </si>
  <si>
    <t>2.8~3.2%</t>
  </si>
  <si>
    <t>8~10%</t>
  </si>
  <si>
    <t>10~12%</t>
  </si>
  <si>
    <t>推广通</t>
  </si>
  <si>
    <t>预计增长</t>
  </si>
  <si>
    <t>曝光</t>
  </si>
  <si>
    <t>ctr</t>
  </si>
  <si>
    <r>
      <t>点击</t>
    </r>
    <r>
      <rPr>
        <sz val="12"/>
        <color rgb="FF000000"/>
        <rFont val="Times New Roman"/>
        <family val="1"/>
      </rPr>
      <t>uv</t>
    </r>
  </si>
  <si>
    <t>cvr</t>
  </si>
  <si>
    <t>订单量</t>
  </si>
  <si>
    <t>GMV</t>
  </si>
  <si>
    <t>广告消耗</t>
  </si>
  <si>
    <t>ROI</t>
  </si>
  <si>
    <t>订单通</t>
    <phoneticPr fontId="3" type="noConversion"/>
  </si>
  <si>
    <t>曝光量</t>
  </si>
  <si>
    <t>点击 UV</t>
  </si>
  <si>
    <t>CTR</t>
  </si>
  <si>
    <t>广告订单数</t>
  </si>
  <si>
    <t>GMV（元）</t>
  </si>
  <si>
    <t>广告消耗（元）</t>
  </si>
  <si>
    <t>平均费率</t>
  </si>
  <si>
    <t>B vs A</t>
    <phoneticPr fontId="3" type="noConversion"/>
  </si>
  <si>
    <t>CVR</t>
    <phoneticPr fontId="3" type="noConversion"/>
  </si>
  <si>
    <t>C VS A</t>
    <phoneticPr fontId="3" type="noConversion"/>
  </si>
  <si>
    <t>D VS A</t>
    <phoneticPr fontId="3" type="noConversion"/>
  </si>
  <si>
    <t>指标项</t>
    <phoneticPr fontId="3" type="noConversion"/>
  </si>
  <si>
    <t>D组</t>
    <phoneticPr fontId="3" type="noConversion"/>
  </si>
  <si>
    <t>C组</t>
    <phoneticPr fontId="3" type="noConversion"/>
  </si>
  <si>
    <t>B组</t>
    <phoneticPr fontId="3" type="noConversion"/>
  </si>
  <si>
    <t>A组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</si>
</sst>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¥&quot;#,##0.00_);[Red]\(&quot;¥&quot;#,##0.00\)"/>
    <numFmt numFmtId="43" formatCode="_(* #,##0.00_);_(* \(#,##0.00\);_(* &quot;-&quot;??_);_(@_)"/>
  </numFmts>
  <fonts count="8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B38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8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9" fontId="2" fillId="0" borderId="1" xfId="0" applyNumberFormat="1" applyFont="1" applyBorder="1">
      <alignment vertical="center"/>
    </xf>
    <xf numFmtId="10" fontId="0" fillId="0" borderId="1" xfId="0" applyNumberForma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0" borderId="1" xfId="0" applyNumberFormat="1" applyBorder="1">
      <alignment vertical="center"/>
    </xf>
    <xf numFmtId="10" fontId="0" fillId="0" borderId="1" xfId="2" applyNumberFormat="1" applyFont="1" applyBorder="1">
      <alignment vertical="center"/>
    </xf>
    <xf numFmtId="43" fontId="0" fillId="0" borderId="1" xfId="1" applyFont="1" applyBorder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2D8A-6B6B-6A48-89A2-66C54788B885}">
  <dimension ref="A1:M65"/>
  <sheetViews>
    <sheetView tabSelected="1" topLeftCell="A37" workbookViewId="0">
      <selection activeCell="I60" sqref="I60"/>
    </sheetView>
  </sheetViews>
  <sheetFormatPr baseColWidth="10" defaultRowHeight="16"/>
  <cols>
    <col min="1" max="1" width="16.33203125" bestFit="1" customWidth="1"/>
    <col min="2" max="3" width="16.6640625" customWidth="1"/>
    <col min="4" max="4" width="19.33203125" customWidth="1"/>
    <col min="5" max="5" width="18.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</row>
    <row r="2" spans="1:12">
      <c r="A2" s="2" t="s">
        <v>4</v>
      </c>
      <c r="B2" s="3">
        <v>0.38400000000000001</v>
      </c>
      <c r="C2" s="3">
        <v>0.112</v>
      </c>
      <c r="D2" s="2" t="s">
        <v>5</v>
      </c>
    </row>
    <row r="3" spans="1:12">
      <c r="A3" s="2" t="s">
        <v>6</v>
      </c>
      <c r="B3" s="3">
        <v>0.33100000000000002</v>
      </c>
      <c r="C3" s="3">
        <v>0.156</v>
      </c>
      <c r="D3" s="2" t="s">
        <v>7</v>
      </c>
    </row>
    <row r="4" spans="1:12">
      <c r="A4" s="2" t="s">
        <v>8</v>
      </c>
      <c r="B4" s="3">
        <v>0.26700000000000002</v>
      </c>
      <c r="C4" s="3">
        <v>0.223</v>
      </c>
      <c r="D4" s="2" t="s">
        <v>9</v>
      </c>
    </row>
    <row r="5" spans="1:12">
      <c r="A5" s="2" t="s">
        <v>10</v>
      </c>
      <c r="B5" s="3">
        <v>0.153</v>
      </c>
      <c r="C5" s="3">
        <v>0.25800000000000001</v>
      </c>
      <c r="D5" s="2" t="s">
        <v>11</v>
      </c>
    </row>
    <row r="6" spans="1:12">
      <c r="A6" s="2" t="s">
        <v>12</v>
      </c>
      <c r="B6" s="3">
        <v>8.5999999999999993E-2</v>
      </c>
      <c r="C6" s="3">
        <v>0.251</v>
      </c>
      <c r="D6" s="2" t="s">
        <v>13</v>
      </c>
    </row>
    <row r="9" spans="1:12" ht="17" thickBot="1"/>
    <row r="10" spans="1:12" ht="17" thickBot="1">
      <c r="I10" s="9"/>
      <c r="J10" s="10" t="s">
        <v>79</v>
      </c>
      <c r="K10" s="10" t="s">
        <v>69</v>
      </c>
      <c r="L10" s="10" t="s">
        <v>70</v>
      </c>
    </row>
    <row r="11" spans="1:12" ht="17" thickBot="1">
      <c r="A11" s="1" t="s">
        <v>14</v>
      </c>
      <c r="B11" s="1" t="s">
        <v>15</v>
      </c>
      <c r="C11" s="1" t="s">
        <v>16</v>
      </c>
      <c r="I11" s="11" t="s">
        <v>71</v>
      </c>
      <c r="J11" s="12"/>
      <c r="K11" s="12"/>
      <c r="L11" s="13"/>
    </row>
    <row r="12" spans="1:12" ht="17" thickBot="1">
      <c r="A12" s="4" t="s">
        <v>52</v>
      </c>
      <c r="B12" s="1" t="s">
        <v>57</v>
      </c>
      <c r="C12" s="1" t="s">
        <v>58</v>
      </c>
      <c r="I12" s="14" t="s">
        <v>72</v>
      </c>
      <c r="J12" s="15"/>
      <c r="K12" s="15"/>
      <c r="L12" s="13"/>
    </row>
    <row r="13" spans="1:12" ht="17" thickBot="1">
      <c r="A13" s="4" t="s">
        <v>53</v>
      </c>
      <c r="B13" s="1" t="s">
        <v>59</v>
      </c>
      <c r="C13" s="1" t="s">
        <v>60</v>
      </c>
      <c r="I13" s="11" t="s">
        <v>73</v>
      </c>
      <c r="J13" s="12"/>
      <c r="K13" s="12"/>
      <c r="L13" s="13"/>
    </row>
    <row r="14" spans="1:12" ht="17" thickBot="1">
      <c r="A14" s="4" t="s">
        <v>54</v>
      </c>
      <c r="B14" s="1" t="s">
        <v>61</v>
      </c>
      <c r="C14" s="1" t="s">
        <v>62</v>
      </c>
      <c r="I14" s="14" t="s">
        <v>74</v>
      </c>
      <c r="J14" s="15"/>
      <c r="K14" s="15"/>
      <c r="L14" s="13"/>
    </row>
    <row r="15" spans="1:12" ht="17" thickBot="1">
      <c r="A15" s="4" t="s">
        <v>17</v>
      </c>
      <c r="B15" s="1" t="s">
        <v>63</v>
      </c>
      <c r="C15" s="1" t="s">
        <v>64</v>
      </c>
      <c r="I15" s="11" t="s">
        <v>75</v>
      </c>
      <c r="J15" s="12"/>
      <c r="K15" s="12"/>
      <c r="L15" s="13"/>
    </row>
    <row r="16" spans="1:12" ht="17" thickBot="1">
      <c r="A16" s="4" t="s">
        <v>55</v>
      </c>
      <c r="B16" s="1" t="s">
        <v>65</v>
      </c>
      <c r="C16" s="1" t="s">
        <v>66</v>
      </c>
      <c r="I16" s="14" t="s">
        <v>76</v>
      </c>
      <c r="J16" s="12"/>
      <c r="K16" s="12"/>
      <c r="L16" s="13"/>
    </row>
    <row r="17" spans="1:12" ht="17" thickBot="1">
      <c r="A17" s="4" t="s">
        <v>56</v>
      </c>
      <c r="B17" s="1" t="s">
        <v>67</v>
      </c>
      <c r="C17" s="1" t="s">
        <v>68</v>
      </c>
      <c r="I17" s="11" t="s">
        <v>77</v>
      </c>
      <c r="J17" s="12"/>
      <c r="K17" s="12"/>
      <c r="L17" s="15"/>
    </row>
    <row r="18" spans="1:12" ht="17" thickBot="1">
      <c r="I18" s="14" t="s">
        <v>78</v>
      </c>
      <c r="J18" s="12"/>
      <c r="K18" s="12"/>
      <c r="L18" s="15"/>
    </row>
    <row r="20" spans="1:12">
      <c r="A20" s="1" t="s">
        <v>18</v>
      </c>
      <c r="B20" s="1" t="s">
        <v>19</v>
      </c>
      <c r="C20" s="1" t="s">
        <v>20</v>
      </c>
      <c r="D20" s="1" t="s">
        <v>21</v>
      </c>
    </row>
    <row r="21" spans="1:12">
      <c r="A21" s="4" t="s">
        <v>22</v>
      </c>
      <c r="B21" s="4" t="s">
        <v>23</v>
      </c>
      <c r="C21" s="6">
        <v>0.54</v>
      </c>
      <c r="D21" s="4" t="s">
        <v>24</v>
      </c>
    </row>
    <row r="22" spans="1:12">
      <c r="A22" s="4" t="s">
        <v>25</v>
      </c>
      <c r="B22" s="4" t="s">
        <v>26</v>
      </c>
      <c r="C22" s="6">
        <v>0.47</v>
      </c>
      <c r="D22" s="4" t="s">
        <v>27</v>
      </c>
    </row>
    <row r="23" spans="1:12">
      <c r="A23" s="4" t="s">
        <v>28</v>
      </c>
      <c r="B23" s="4" t="s">
        <v>29</v>
      </c>
      <c r="C23" s="6">
        <v>0.35</v>
      </c>
      <c r="D23" s="4" t="s">
        <v>30</v>
      </c>
    </row>
    <row r="24" spans="1:12">
      <c r="A24" s="4" t="s">
        <v>31</v>
      </c>
      <c r="B24" s="4" t="s">
        <v>32</v>
      </c>
      <c r="C24" s="6">
        <v>0.15</v>
      </c>
      <c r="D24" s="4" t="s">
        <v>33</v>
      </c>
    </row>
    <row r="28" spans="1:12">
      <c r="A28" s="1" t="s">
        <v>34</v>
      </c>
      <c r="B28" s="1" t="s">
        <v>35</v>
      </c>
      <c r="C28" s="1" t="s">
        <v>36</v>
      </c>
    </row>
    <row r="29" spans="1:12">
      <c r="A29" s="7">
        <v>0.05</v>
      </c>
      <c r="B29" s="4" t="s">
        <v>37</v>
      </c>
      <c r="C29" s="5">
        <v>0.23400000000000001</v>
      </c>
    </row>
    <row r="30" spans="1:12">
      <c r="A30" s="7">
        <v>0.1</v>
      </c>
      <c r="B30" s="4" t="s">
        <v>38</v>
      </c>
      <c r="C30" s="5">
        <v>0.46800000000000003</v>
      </c>
    </row>
    <row r="31" spans="1:12">
      <c r="A31" s="7">
        <v>0.2</v>
      </c>
      <c r="B31" s="4" t="s">
        <v>39</v>
      </c>
      <c r="C31" s="5">
        <v>0.93600000000000005</v>
      </c>
    </row>
    <row r="35" spans="1:13">
      <c r="A35" s="1" t="s">
        <v>40</v>
      </c>
      <c r="B35" s="1" t="s">
        <v>41</v>
      </c>
    </row>
    <row r="36" spans="1:13">
      <c r="A36" s="1" t="s">
        <v>42</v>
      </c>
      <c r="B36" s="4" t="s">
        <v>43</v>
      </c>
    </row>
    <row r="37" spans="1:13">
      <c r="A37" s="1" t="s">
        <v>44</v>
      </c>
      <c r="B37" s="4" t="s">
        <v>45</v>
      </c>
    </row>
    <row r="38" spans="1:13">
      <c r="A38" s="1" t="s">
        <v>46</v>
      </c>
      <c r="B38" s="4" t="s">
        <v>47</v>
      </c>
    </row>
    <row r="39" spans="1:13">
      <c r="A39" s="1" t="s">
        <v>48</v>
      </c>
      <c r="B39" s="4" t="s">
        <v>49</v>
      </c>
    </row>
    <row r="40" spans="1:13">
      <c r="A40" s="1" t="s">
        <v>50</v>
      </c>
      <c r="B40" s="4" t="s">
        <v>51</v>
      </c>
    </row>
    <row r="47" spans="1:13">
      <c r="A47" s="1" t="s">
        <v>91</v>
      </c>
      <c r="B47" s="1" t="s">
        <v>95</v>
      </c>
      <c r="C47" s="1" t="s">
        <v>94</v>
      </c>
      <c r="D47" s="1" t="s">
        <v>93</v>
      </c>
      <c r="E47" s="1" t="s">
        <v>92</v>
      </c>
      <c r="F47" s="1" t="s">
        <v>87</v>
      </c>
      <c r="G47" s="1" t="s">
        <v>89</v>
      </c>
      <c r="H47" s="1" t="s">
        <v>90</v>
      </c>
    </row>
    <row r="48" spans="1:13">
      <c r="A48" s="4" t="s">
        <v>80</v>
      </c>
      <c r="B48" s="17">
        <v>503623</v>
      </c>
      <c r="C48" s="17">
        <f>B48*1.1773/2</f>
        <v>296457.67895000003</v>
      </c>
      <c r="D48" s="17">
        <f>B48*1.3039/2</f>
        <v>328337.01485000004</v>
      </c>
      <c r="E48" s="17">
        <f>B48*1.2438/2</f>
        <v>313203.14370000002</v>
      </c>
      <c r="F48" s="18">
        <f>C48*2/$B48-1</f>
        <v>0.17730000000000001</v>
      </c>
      <c r="G48" s="18">
        <f t="shared" ref="G48:H48" si="0">D48*2/$B48-1</f>
        <v>0.30390000000000006</v>
      </c>
      <c r="H48" s="18">
        <f t="shared" si="0"/>
        <v>0.24380000000000002</v>
      </c>
      <c r="J48" s="16">
        <f>C48+D48+E48</f>
        <v>937997.83750000002</v>
      </c>
      <c r="K48">
        <f>J48/6</f>
        <v>156332.97291666668</v>
      </c>
      <c r="L48">
        <f>B48/4</f>
        <v>125905.75</v>
      </c>
      <c r="M48">
        <f>K48/L48</f>
        <v>1.2416666666666667</v>
      </c>
    </row>
    <row r="49" spans="1:8">
      <c r="A49" s="4" t="s">
        <v>82</v>
      </c>
      <c r="B49" s="8">
        <v>2.93E-2</v>
      </c>
      <c r="C49" s="8">
        <v>3.0300000000000001E-2</v>
      </c>
      <c r="D49" s="8">
        <v>2.9100000000000001E-2</v>
      </c>
      <c r="E49" s="8">
        <v>2.9600000000000001E-2</v>
      </c>
      <c r="F49" s="18">
        <f>C49/$B49-1</f>
        <v>3.4129692832764569E-2</v>
      </c>
      <c r="G49" s="18">
        <f t="shared" ref="G49:H49" si="1">D49/$B49-1</f>
        <v>-6.8259385665528916E-3</v>
      </c>
      <c r="H49" s="18">
        <f t="shared" si="1"/>
        <v>1.0238907849829504E-2</v>
      </c>
    </row>
    <row r="50" spans="1:8">
      <c r="A50" s="4" t="s">
        <v>81</v>
      </c>
      <c r="B50" s="17">
        <f>B48*B49</f>
        <v>14756.153899999999</v>
      </c>
      <c r="C50" s="17">
        <f t="shared" ref="C50:E50" si="2">C48*C49</f>
        <v>8982.6676721850017</v>
      </c>
      <c r="D50" s="17">
        <f t="shared" si="2"/>
        <v>9554.6071321350009</v>
      </c>
      <c r="E50" s="17">
        <f t="shared" si="2"/>
        <v>9270.8130535200016</v>
      </c>
      <c r="F50" s="18">
        <f t="shared" ref="F49:F56" si="3">C50*2/$B50-1</f>
        <v>0.21748088737201399</v>
      </c>
      <c r="G50" s="18">
        <f t="shared" ref="G49:G56" si="4">D50*2/$B50-1</f>
        <v>0.29499965870307188</v>
      </c>
      <c r="H50" s="18">
        <f t="shared" ref="H49:H56" si="5">E50*2/$B50-1</f>
        <v>0.256535153583618</v>
      </c>
    </row>
    <row r="51" spans="1:8">
      <c r="A51" s="4" t="s">
        <v>88</v>
      </c>
      <c r="B51" s="18">
        <v>0.11360000000000001</v>
      </c>
      <c r="C51" s="18">
        <v>0.13769999999999999</v>
      </c>
      <c r="D51" s="18">
        <v>0.1401</v>
      </c>
      <c r="E51" s="18">
        <v>0.13869999999999999</v>
      </c>
      <c r="F51" s="18">
        <f>C51/$B51-1</f>
        <v>0.21214788732394352</v>
      </c>
      <c r="G51" s="18">
        <f t="shared" ref="G51" si="6">D51/$B51-1</f>
        <v>0.23327464788732399</v>
      </c>
      <c r="H51" s="18">
        <f t="shared" ref="H51" si="7">E51/$B51-1</f>
        <v>0.22095070422535201</v>
      </c>
    </row>
    <row r="52" spans="1:8">
      <c r="A52" s="4" t="s">
        <v>83</v>
      </c>
      <c r="B52" s="17">
        <f>B50*B51</f>
        <v>1676.2990830399999</v>
      </c>
      <c r="C52" s="17">
        <f t="shared" ref="C52:E52" si="8">C50*C51</f>
        <v>1236.9133384598747</v>
      </c>
      <c r="D52" s="17">
        <f t="shared" si="8"/>
        <v>1338.6004592121137</v>
      </c>
      <c r="E52" s="17">
        <f t="shared" si="8"/>
        <v>1285.8617705232241</v>
      </c>
      <c r="F52" s="18">
        <f t="shared" si="3"/>
        <v>0.4757668854852668</v>
      </c>
      <c r="G52" s="18">
        <f t="shared" si="4"/>
        <v>0.59709024810123568</v>
      </c>
      <c r="H52" s="18">
        <f t="shared" si="5"/>
        <v>0.53416748065182929</v>
      </c>
    </row>
    <row r="53" spans="1:8">
      <c r="A53" s="4" t="s">
        <v>84</v>
      </c>
      <c r="B53" s="17">
        <f>B52*78</f>
        <v>130751.32847712</v>
      </c>
      <c r="C53" s="17">
        <f t="shared" ref="C53:E53" si="9">C52*78</f>
        <v>96479.240399870221</v>
      </c>
      <c r="D53" s="17">
        <f t="shared" si="9"/>
        <v>104410.83581854487</v>
      </c>
      <c r="E53" s="17">
        <f t="shared" si="9"/>
        <v>100297.21810081149</v>
      </c>
      <c r="F53" s="18">
        <f t="shared" si="3"/>
        <v>0.4757668854852668</v>
      </c>
      <c r="G53" s="18">
        <f t="shared" si="4"/>
        <v>0.59709024810123568</v>
      </c>
      <c r="H53" s="18">
        <f t="shared" si="5"/>
        <v>0.53416748065182929</v>
      </c>
    </row>
    <row r="54" spans="1:8">
      <c r="A54" s="4" t="s">
        <v>85</v>
      </c>
      <c r="B54" s="4">
        <v>0</v>
      </c>
      <c r="C54" s="17">
        <f>C53*C56</f>
        <v>8345.4542945887733</v>
      </c>
      <c r="D54" s="17">
        <f t="shared" ref="D54:E54" si="10">D53*D56</f>
        <v>9031.5372983041307</v>
      </c>
      <c r="E54" s="17">
        <f t="shared" si="10"/>
        <v>8675.7093657201931</v>
      </c>
      <c r="F54" s="18"/>
      <c r="G54" s="18"/>
      <c r="H54" s="18"/>
    </row>
    <row r="55" spans="1:8">
      <c r="A55" s="4" t="s">
        <v>78</v>
      </c>
      <c r="B55" s="4" t="s">
        <v>5</v>
      </c>
      <c r="C55" s="19">
        <f>1/C56</f>
        <v>11.560693641618498</v>
      </c>
      <c r="D55" s="19">
        <f t="shared" ref="D55:E55" si="11">1/D56</f>
        <v>11.560693641618498</v>
      </c>
      <c r="E55" s="19">
        <f t="shared" si="11"/>
        <v>11.560693641618498</v>
      </c>
      <c r="F55" s="18"/>
      <c r="G55" s="18"/>
      <c r="H55" s="18"/>
    </row>
    <row r="56" spans="1:8">
      <c r="A56" s="4" t="s">
        <v>86</v>
      </c>
      <c r="B56" s="4" t="s">
        <v>5</v>
      </c>
      <c r="C56" s="8">
        <v>8.6499999999999994E-2</v>
      </c>
      <c r="D56" s="8">
        <v>8.6499999999999994E-2</v>
      </c>
      <c r="E56" s="8">
        <v>8.6499999999999994E-2</v>
      </c>
      <c r="F56" s="18"/>
      <c r="G56" s="18"/>
      <c r="H56" s="18"/>
    </row>
    <row r="61" spans="1:8">
      <c r="B61">
        <f>B52/500</f>
        <v>3.3525981660799999</v>
      </c>
      <c r="C61">
        <f t="shared" ref="C61:E61" si="12">C52/500</f>
        <v>2.4738266769197494</v>
      </c>
      <c r="D61">
        <f t="shared" si="12"/>
        <v>2.6772009184242274</v>
      </c>
      <c r="E61">
        <f t="shared" si="12"/>
        <v>2.5717235410464481</v>
      </c>
    </row>
    <row r="62" spans="1:8">
      <c r="B62">
        <f>B61*30</f>
        <v>100.5779449824</v>
      </c>
      <c r="C62">
        <f t="shared" ref="C62:E62" si="13">C61*30</f>
        <v>74.214800307592483</v>
      </c>
      <c r="D62">
        <f t="shared" si="13"/>
        <v>80.316027552726823</v>
      </c>
      <c r="E62">
        <f t="shared" si="13"/>
        <v>77.151706231393447</v>
      </c>
    </row>
    <row r="63" spans="1:8">
      <c r="B63">
        <f>B62*5/2</f>
        <v>251.44486245600001</v>
      </c>
      <c r="C63">
        <f>C62*5</f>
        <v>371.07400153796243</v>
      </c>
    </row>
    <row r="65" spans="3:3">
      <c r="C65">
        <f>C63/B63-1</f>
        <v>0.4757668854852668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Zhu</dc:creator>
  <cp:lastModifiedBy>Zhaohui Zhu</cp:lastModifiedBy>
  <dcterms:created xsi:type="dcterms:W3CDTF">2025-05-27T17:50:34Z</dcterms:created>
  <dcterms:modified xsi:type="dcterms:W3CDTF">2025-05-28T19:41:10Z</dcterms:modified>
</cp:coreProperties>
</file>